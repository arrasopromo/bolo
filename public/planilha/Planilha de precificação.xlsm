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Raynan-user\Documents\"/>
    </mc:Choice>
  </mc:AlternateContent>
  <xr:revisionPtr revIDLastSave="0" documentId="13_ncr:1_{0CA17DD8-EC86-4DE3-B943-C27D95D64801}" xr6:coauthVersionLast="47" xr6:coauthVersionMax="47" xr10:uidLastSave="{00000000-0000-0000-0000-000000000000}"/>
  <bookViews>
    <workbookView xWindow="-108" yWindow="-108" windowWidth="23256" windowHeight="12456" activeTab="1" xr2:uid="{0B9A8221-5316-4103-8651-4E3CE580732A}"/>
  </bookViews>
  <sheets>
    <sheet name="Lista de produtos" sheetId="1" r:id="rId1"/>
    <sheet name="Registro de precificação aro10" sheetId="13" r:id="rId2"/>
    <sheet name="Registro de precificação aro15" sheetId="12" r:id="rId3"/>
    <sheet name="Registro de precificação aro20" sheetId="11" r:id="rId4"/>
    <sheet name="Registro de precificação aro25" sheetId="2" r:id="rId5"/>
  </sheets>
  <definedNames>
    <definedName name="_xlnm._FilterDatabase" localSheetId="0" hidden="1">'Lista de produtos'!$E$7:$H$7</definedName>
    <definedName name="_xlnm._FilterDatabase" localSheetId="1" hidden="1">'Registro de precificação aro10'!$C$8:$G$8</definedName>
    <definedName name="_xlnm._FilterDatabase" localSheetId="2" hidden="1">'Registro de precificação aro15'!$C$8:$G$8</definedName>
    <definedName name="_xlnm._FilterDatabase" localSheetId="3" hidden="1">'Registro de precificação aro20'!$C$8:$G$8</definedName>
    <definedName name="_xlnm._FilterDatabase" localSheetId="4" hidden="1">'Registro de precificação aro25'!$C$9:$G$9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5" i="2" l="1"/>
  <c r="M16" i="11"/>
  <c r="M16" i="12"/>
  <c r="M16" i="13"/>
  <c r="M17" i="13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G35" i="2" s="1"/>
  <c r="D36" i="2"/>
  <c r="G36" i="2" s="1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G34" i="11" s="1"/>
  <c r="D35" i="11"/>
  <c r="G35" i="11" s="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G34" i="12" s="1"/>
  <c r="D35" i="12"/>
  <c r="G35" i="12" s="1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G34" i="13" s="1"/>
  <c r="D35" i="13"/>
  <c r="G35" i="13" s="1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E4" i="1"/>
  <c r="E10" i="13" s="1"/>
  <c r="D15" i="12" l="1"/>
  <c r="E17" i="12"/>
  <c r="D9" i="11"/>
  <c r="D19" i="11"/>
  <c r="D11" i="11"/>
  <c r="E13" i="11"/>
  <c r="D16" i="2"/>
  <c r="G16" i="2" s="1"/>
  <c r="E18" i="2"/>
  <c r="D19" i="13"/>
  <c r="D14" i="12"/>
  <c r="E16" i="12"/>
  <c r="D18" i="11"/>
  <c r="D10" i="11"/>
  <c r="E20" i="11"/>
  <c r="E12" i="11"/>
  <c r="G12" i="11" s="1"/>
  <c r="D15" i="2"/>
  <c r="E17" i="2"/>
  <c r="D17" i="13"/>
  <c r="D13" i="12"/>
  <c r="E15" i="12"/>
  <c r="G15" i="12" s="1"/>
  <c r="D17" i="11"/>
  <c r="E9" i="11"/>
  <c r="G9" i="11" s="1"/>
  <c r="E19" i="11"/>
  <c r="E11" i="11"/>
  <c r="G11" i="11" s="1"/>
  <c r="D14" i="2"/>
  <c r="E16" i="2"/>
  <c r="D11" i="13"/>
  <c r="E19" i="13"/>
  <c r="G19" i="13" s="1"/>
  <c r="D20" i="12"/>
  <c r="D12" i="12"/>
  <c r="E14" i="12"/>
  <c r="G14" i="12" s="1"/>
  <c r="D16" i="11"/>
  <c r="E18" i="11"/>
  <c r="E10" i="11"/>
  <c r="D21" i="2"/>
  <c r="D13" i="2"/>
  <c r="E15" i="2"/>
  <c r="E9" i="13"/>
  <c r="D9" i="12"/>
  <c r="D19" i="12"/>
  <c r="G19" i="12" s="1"/>
  <c r="D11" i="12"/>
  <c r="E13" i="12"/>
  <c r="D15" i="11"/>
  <c r="E17" i="11"/>
  <c r="D10" i="2"/>
  <c r="D20" i="2"/>
  <c r="D12" i="2"/>
  <c r="G12" i="2" s="1"/>
  <c r="E14" i="2"/>
  <c r="G14" i="2" s="1"/>
  <c r="D18" i="12"/>
  <c r="D10" i="12"/>
  <c r="E20" i="12"/>
  <c r="E12" i="12"/>
  <c r="D14" i="11"/>
  <c r="E16" i="11"/>
  <c r="D19" i="2"/>
  <c r="D11" i="2"/>
  <c r="E21" i="2"/>
  <c r="E13" i="2"/>
  <c r="E9" i="12"/>
  <c r="E19" i="12"/>
  <c r="E11" i="12"/>
  <c r="G11" i="12" s="1"/>
  <c r="D13" i="11"/>
  <c r="E15" i="11"/>
  <c r="G15" i="11" s="1"/>
  <c r="D18" i="2"/>
  <c r="E10" i="2"/>
  <c r="E20" i="2"/>
  <c r="E12" i="2"/>
  <c r="D9" i="13"/>
  <c r="D17" i="12"/>
  <c r="G17" i="12" s="1"/>
  <c r="D16" i="12"/>
  <c r="G16" i="12" s="1"/>
  <c r="E18" i="12"/>
  <c r="G18" i="12" s="1"/>
  <c r="E10" i="12"/>
  <c r="G10" i="12" s="1"/>
  <c r="D20" i="11"/>
  <c r="D12" i="11"/>
  <c r="E14" i="11"/>
  <c r="D17" i="2"/>
  <c r="G17" i="2" s="1"/>
  <c r="E19" i="2"/>
  <c r="E11" i="2"/>
  <c r="D15" i="13"/>
  <c r="E17" i="13"/>
  <c r="G17" i="13" s="1"/>
  <c r="D14" i="13"/>
  <c r="E16" i="13"/>
  <c r="D13" i="13"/>
  <c r="E15" i="13"/>
  <c r="D20" i="13"/>
  <c r="D12" i="13"/>
  <c r="E14" i="13"/>
  <c r="G14" i="13" s="1"/>
  <c r="E13" i="13"/>
  <c r="G13" i="13" s="1"/>
  <c r="D18" i="13"/>
  <c r="D10" i="13"/>
  <c r="G10" i="13" s="1"/>
  <c r="E20" i="13"/>
  <c r="E12" i="13"/>
  <c r="E11" i="13"/>
  <c r="G11" i="13" s="1"/>
  <c r="D16" i="13"/>
  <c r="E18" i="13"/>
  <c r="G18" i="13" s="1"/>
  <c r="G50" i="13"/>
  <c r="G54" i="13"/>
  <c r="G22" i="13"/>
  <c r="G26" i="13"/>
  <c r="G46" i="13"/>
  <c r="G29" i="13"/>
  <c r="G33" i="13"/>
  <c r="G37" i="13"/>
  <c r="G40" i="13"/>
  <c r="G44" i="13"/>
  <c r="G48" i="13"/>
  <c r="G56" i="13"/>
  <c r="G21" i="12"/>
  <c r="G31" i="12"/>
  <c r="G39" i="12"/>
  <c r="G47" i="12"/>
  <c r="G36" i="12"/>
  <c r="G40" i="12"/>
  <c r="G48" i="12"/>
  <c r="G52" i="12"/>
  <c r="G49" i="12"/>
  <c r="G53" i="12"/>
  <c r="G26" i="12"/>
  <c r="G50" i="12"/>
  <c r="G54" i="12"/>
  <c r="G58" i="12"/>
  <c r="G31" i="13"/>
  <c r="G39" i="13"/>
  <c r="G27" i="12"/>
  <c r="G29" i="12"/>
  <c r="G37" i="12"/>
  <c r="G32" i="13"/>
  <c r="G43" i="13"/>
  <c r="G47" i="13"/>
  <c r="G51" i="13"/>
  <c r="G55" i="13"/>
  <c r="G45" i="12"/>
  <c r="G57" i="12"/>
  <c r="G21" i="13"/>
  <c r="G25" i="13"/>
  <c r="G36" i="13"/>
  <c r="G30" i="12"/>
  <c r="G13" i="12"/>
  <c r="G46" i="12"/>
  <c r="G32" i="12"/>
  <c r="G30" i="13"/>
  <c r="G41" i="13"/>
  <c r="G45" i="13"/>
  <c r="G53" i="13"/>
  <c r="G44" i="12"/>
  <c r="G58" i="13"/>
  <c r="G51" i="12"/>
  <c r="G52" i="13"/>
  <c r="G23" i="12"/>
  <c r="G41" i="12"/>
  <c r="G55" i="12"/>
  <c r="G23" i="13"/>
  <c r="G27" i="13"/>
  <c r="G56" i="12"/>
  <c r="G38" i="12"/>
  <c r="G25" i="12"/>
  <c r="G42" i="12"/>
  <c r="G42" i="13"/>
  <c r="G57" i="13"/>
  <c r="G28" i="12"/>
  <c r="G28" i="13"/>
  <c r="G38" i="13"/>
  <c r="G49" i="13"/>
  <c r="G43" i="12"/>
  <c r="G24" i="12"/>
  <c r="G24" i="13"/>
  <c r="G22" i="12"/>
  <c r="G33" i="12"/>
  <c r="G57" i="11"/>
  <c r="G54" i="11"/>
  <c r="G58" i="11"/>
  <c r="G39" i="11"/>
  <c r="G51" i="11"/>
  <c r="G47" i="11"/>
  <c r="G27" i="11"/>
  <c r="G43" i="11"/>
  <c r="G28" i="11"/>
  <c r="G32" i="11"/>
  <c r="G36" i="11"/>
  <c r="G52" i="11"/>
  <c r="G29" i="11"/>
  <c r="G37" i="11"/>
  <c r="G55" i="11"/>
  <c r="G40" i="11"/>
  <c r="G44" i="11"/>
  <c r="G48" i="11"/>
  <c r="G25" i="11"/>
  <c r="G33" i="11"/>
  <c r="G41" i="11"/>
  <c r="G45" i="11"/>
  <c r="G53" i="11"/>
  <c r="G26" i="11"/>
  <c r="G30" i="11"/>
  <c r="G46" i="11"/>
  <c r="G50" i="11"/>
  <c r="G23" i="11"/>
  <c r="G24" i="11"/>
  <c r="G31" i="11"/>
  <c r="G38" i="11"/>
  <c r="G42" i="11"/>
  <c r="G49" i="11"/>
  <c r="G56" i="11"/>
  <c r="G21" i="11"/>
  <c r="G22" i="11"/>
  <c r="G21" i="2"/>
  <c r="G40" i="2"/>
  <c r="G50" i="2"/>
  <c r="G56" i="2"/>
  <c r="G48" i="2"/>
  <c r="G24" i="2"/>
  <c r="G44" i="2"/>
  <c r="G42" i="2"/>
  <c r="G26" i="2"/>
  <c r="G43" i="2"/>
  <c r="G52" i="2"/>
  <c r="G32" i="2"/>
  <c r="G28" i="2"/>
  <c r="G27" i="2"/>
  <c r="G34" i="2"/>
  <c r="G51" i="2"/>
  <c r="G13" i="2"/>
  <c r="G54" i="2"/>
  <c r="G22" i="2"/>
  <c r="G29" i="2"/>
  <c r="G37" i="2"/>
  <c r="G45" i="2"/>
  <c r="G33" i="2"/>
  <c r="G47" i="2"/>
  <c r="G58" i="2"/>
  <c r="G23" i="2"/>
  <c r="G30" i="2"/>
  <c r="G41" i="2"/>
  <c r="G55" i="2"/>
  <c r="G59" i="2"/>
  <c r="G31" i="2"/>
  <c r="G38" i="2"/>
  <c r="G49" i="2"/>
  <c r="G25" i="2"/>
  <c r="G39" i="2"/>
  <c r="G46" i="2"/>
  <c r="G53" i="2"/>
  <c r="G57" i="2"/>
  <c r="G15" i="13" l="1"/>
  <c r="G19" i="11"/>
  <c r="G19" i="2"/>
  <c r="G16" i="13"/>
  <c r="G18" i="11"/>
  <c r="G12" i="13"/>
  <c r="G12" i="12"/>
  <c r="G20" i="13"/>
  <c r="G10" i="11"/>
  <c r="G9" i="12"/>
  <c r="G13" i="11"/>
  <c r="G16" i="11"/>
  <c r="G18" i="2"/>
  <c r="G11" i="2"/>
  <c r="G20" i="2"/>
  <c r="G9" i="13"/>
  <c r="G20" i="11"/>
  <c r="G14" i="11"/>
  <c r="G10" i="2"/>
  <c r="G15" i="2"/>
  <c r="G20" i="12"/>
  <c r="G17" i="11"/>
  <c r="M9" i="13" l="1"/>
  <c r="M10" i="13" s="1"/>
  <c r="M9" i="12"/>
  <c r="M8" i="2"/>
  <c r="M9" i="2" s="1"/>
  <c r="M9" i="11"/>
  <c r="M10" i="11" s="1"/>
  <c r="M11" i="11" s="1"/>
  <c r="M17" i="11" s="1"/>
  <c r="M10" i="12"/>
  <c r="M11" i="12" s="1"/>
  <c r="M11" i="13" l="1"/>
  <c r="M10" i="2"/>
  <c r="M16" i="2" s="1"/>
  <c r="M17" i="12"/>
</calcChain>
</file>

<file path=xl/sharedStrings.xml><?xml version="1.0" encoding="utf-8"?>
<sst xmlns="http://schemas.openxmlformats.org/spreadsheetml/2006/main" count="162" uniqueCount="65">
  <si>
    <t>INGREDIENTES</t>
  </si>
  <si>
    <t>QTD EMBALAGEM</t>
  </si>
  <si>
    <t>PREÇO</t>
  </si>
  <si>
    <t>OVO</t>
  </si>
  <si>
    <t>ACUCAR</t>
  </si>
  <si>
    <t>FARINHA DE TRIGO</t>
  </si>
  <si>
    <t>LEITE CONDENSADO</t>
  </si>
  <si>
    <t>CREME DE LEITE</t>
  </si>
  <si>
    <t>CHOCOLATE EM PO</t>
  </si>
  <si>
    <t>LEITE EM PO</t>
  </si>
  <si>
    <t>TOPO</t>
  </si>
  <si>
    <t>CHANTILY</t>
  </si>
  <si>
    <t>OLEO</t>
  </si>
  <si>
    <t>FERMENTO</t>
  </si>
  <si>
    <t>INSUMOS</t>
  </si>
  <si>
    <t>QTD USADA</t>
  </si>
  <si>
    <t>CUSTO</t>
  </si>
  <si>
    <t>REGISTRO DE PRECIFICAÇÃO</t>
  </si>
  <si>
    <t>% Lucro geral</t>
  </si>
  <si>
    <t>Descrição</t>
  </si>
  <si>
    <t>Valor</t>
  </si>
  <si>
    <t>Custo total da receita</t>
  </si>
  <si>
    <t>Custos invisíveis</t>
  </si>
  <si>
    <t xml:space="preserve">Lucro </t>
  </si>
  <si>
    <t>Taxa cartão</t>
  </si>
  <si>
    <t>Taxa de Entrega</t>
  </si>
  <si>
    <t>Taxa Ifood</t>
  </si>
  <si>
    <t>% Custos inivisiveis</t>
  </si>
  <si>
    <t>Valor sugerido de Venda</t>
  </si>
  <si>
    <t>SACO CONFEITAR</t>
  </si>
  <si>
    <t>CHOCOLATE NOBRE</t>
  </si>
  <si>
    <t>ESSENCIA DE BAUNILHA</t>
  </si>
  <si>
    <t>ACUCAR REFINADO</t>
  </si>
  <si>
    <t>Qtde produtos cadastrados</t>
  </si>
  <si>
    <t>CAKEBOARD 25 CM</t>
  </si>
  <si>
    <t>CAKEBOARD 20 CM</t>
  </si>
  <si>
    <t>CAKEBOARD 30 CM</t>
  </si>
  <si>
    <t>CAKEBOARD 35 CM</t>
  </si>
  <si>
    <t>CAIXA 20CM</t>
  </si>
  <si>
    <t>CAIXA 20cm</t>
  </si>
  <si>
    <t>CAIXA 25cm</t>
  </si>
  <si>
    <t>CAIXA 30cm</t>
  </si>
  <si>
    <t>CAIXA 35cm</t>
  </si>
  <si>
    <t>MANTEIGA</t>
  </si>
  <si>
    <t>MARGARINA</t>
  </si>
  <si>
    <t>CACAU EM PO</t>
  </si>
  <si>
    <t>LEITE</t>
  </si>
  <si>
    <t>CREME DE LEITE FRESCO</t>
  </si>
  <si>
    <t>LEITE NINHO</t>
  </si>
  <si>
    <t>NUTELLA</t>
  </si>
  <si>
    <t>DOCE DE LEITE</t>
  </si>
  <si>
    <t>MORANGO</t>
  </si>
  <si>
    <t>QTD GRAMAS EMBALAGEM</t>
  </si>
  <si>
    <t>PREÇO EMBALAGEM</t>
  </si>
  <si>
    <t>CALCULADORA</t>
  </si>
  <si>
    <t>CADASTRO PRODUTOS</t>
  </si>
  <si>
    <t>Coluna1</t>
  </si>
  <si>
    <t>Dt úlltima atualização</t>
  </si>
  <si>
    <t>VALOR</t>
  </si>
  <si>
    <t>DESCRIÇÃO</t>
  </si>
  <si>
    <t>CAIXA 25CM</t>
  </si>
  <si>
    <t>OLEO DE COCO</t>
  </si>
  <si>
    <t>FARINHA DE AMENDOA</t>
  </si>
  <si>
    <t>Custo tota ingredientes</t>
  </si>
  <si>
    <t>Custo total do produto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</si>
</sst>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"/>
  </numFmts>
  <fonts count="2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0" tint="-0.14999847407452621"/>
      <name val="ADLaM Display"/>
    </font>
    <font>
      <sz val="11"/>
      <color theme="0" tint="-0.14999847407452621"/>
      <name val="Aptos Narrow"/>
      <family val="2"/>
      <scheme val="minor"/>
    </font>
    <font>
      <b/>
      <sz val="11"/>
      <color theme="0" tint="-0.14999847407452621"/>
      <name val="Aptos Narrow"/>
      <family val="2"/>
      <scheme val="minor"/>
    </font>
    <font>
      <sz val="18"/>
      <color theme="0" tint="-0.14999847407452621"/>
      <name val="Aptos Narrow"/>
      <family val="2"/>
      <scheme val="minor"/>
    </font>
    <font>
      <b/>
      <sz val="18"/>
      <color theme="0" tint="-0.14999847407452621"/>
      <name val="Aptos Narrow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14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2"/>
      <color theme="0"/>
      <name val="Arial"/>
      <family val="2"/>
    </font>
    <font>
      <sz val="11"/>
      <color rgb="FF924F26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9F6ED"/>
      <name val="Aptos Narrow"/>
      <family val="2"/>
      <scheme val="minor"/>
    </font>
    <font>
      <sz val="12"/>
      <color rgb="FFF9F6ED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26"/>
      <color rgb="FFF9F6ED"/>
      <name val="Aptos Narrow"/>
      <family val="2"/>
      <scheme val="minor"/>
    </font>
    <font>
      <b/>
      <sz val="14"/>
      <color theme="0"/>
      <name val="Arial"/>
      <family val="2"/>
    </font>
    <font>
      <sz val="14"/>
      <color theme="0"/>
      <name val="Aptos Narrow"/>
      <family val="2"/>
      <scheme val="minor"/>
    </font>
    <font>
      <sz val="18"/>
      <color rgb="FFF9F6ED"/>
      <name val="Aptos Narrow"/>
      <family val="2"/>
      <scheme val="minor"/>
    </font>
    <font>
      <sz val="11"/>
      <color rgb="FFF9F6ED"/>
      <name val="ADLaM Display"/>
    </font>
    <font>
      <b/>
      <sz val="12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D1AC97"/>
        <bgColor indexed="64"/>
      </patternFill>
    </fill>
    <fill>
      <patternFill patternType="solid">
        <fgColor rgb="FF924F26"/>
        <bgColor indexed="64"/>
      </patternFill>
    </fill>
    <fill>
      <patternFill patternType="solid">
        <fgColor rgb="FFF9F6ED"/>
        <bgColor indexed="64"/>
      </patternFill>
    </fill>
    <fill>
      <gradientFill degree="90">
        <stop position="0">
          <color rgb="FF924F26"/>
        </stop>
        <stop position="1">
          <color theme="5" tint="0.59999389629810485"/>
        </stop>
      </gradient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7">
    <xf numFmtId="0" fontId="0" fillId="0" borderId="0" xfId="0"/>
    <xf numFmtId="0" fontId="4" fillId="2" borderId="1" xfId="0" applyFont="1" applyFill="1" applyBorder="1" applyAlignment="1" applyProtection="1">
      <alignment horizontal="center"/>
      <protection locked="0"/>
    </xf>
    <xf numFmtId="44" fontId="4" fillId="2" borderId="1" xfId="1" applyFont="1" applyFill="1" applyBorder="1" applyAlignment="1" applyProtection="1">
      <protection locked="0"/>
    </xf>
    <xf numFmtId="44" fontId="4" fillId="2" borderId="1" xfId="1" applyFont="1" applyFill="1" applyBorder="1" applyProtection="1">
      <protection locked="0"/>
    </xf>
    <xf numFmtId="0" fontId="4" fillId="2" borderId="1" xfId="0" applyFont="1" applyFill="1" applyBorder="1" applyAlignment="1">
      <alignment horizontal="center"/>
    </xf>
    <xf numFmtId="164" fontId="4" fillId="2" borderId="1" xfId="0" applyNumberFormat="1" applyFont="1" applyFill="1" applyBorder="1"/>
    <xf numFmtId="164" fontId="4" fillId="2" borderId="1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0" fontId="4" fillId="3" borderId="1" xfId="0" applyFont="1" applyFill="1" applyBorder="1" applyProtection="1">
      <protection locked="0"/>
    </xf>
    <xf numFmtId="0" fontId="4" fillId="3" borderId="2" xfId="0" applyFont="1" applyFill="1" applyBorder="1" applyProtection="1"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0" fontId="4" fillId="3" borderId="2" xfId="0" applyFont="1" applyFill="1" applyBorder="1" applyAlignment="1" applyProtection="1">
      <alignment horizontal="center"/>
      <protection locked="0"/>
    </xf>
    <xf numFmtId="0" fontId="5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9" fontId="3" fillId="3" borderId="1" xfId="0" applyNumberFormat="1" applyFont="1" applyFill="1" applyBorder="1" applyAlignment="1">
      <alignment horizontal="center"/>
    </xf>
    <xf numFmtId="0" fontId="0" fillId="5" borderId="0" xfId="0" applyFill="1"/>
    <xf numFmtId="0" fontId="8" fillId="5" borderId="0" xfId="0" applyFont="1" applyFill="1" applyAlignment="1">
      <alignment horizontal="centerContinuous"/>
    </xf>
    <xf numFmtId="0" fontId="5" fillId="5" borderId="0" xfId="0" applyFont="1" applyFill="1" applyBorder="1" applyAlignment="1">
      <alignment horizontal="center" vertical="center"/>
    </xf>
    <xf numFmtId="164" fontId="4" fillId="5" borderId="0" xfId="0" applyNumberFormat="1" applyFont="1" applyFill="1" applyBorder="1" applyAlignment="1">
      <alignment horizontal="center"/>
    </xf>
    <xf numFmtId="164" fontId="4" fillId="5" borderId="0" xfId="0" applyNumberFormat="1" applyFont="1" applyFill="1" applyBorder="1" applyAlignment="1">
      <alignment horizontal="left"/>
    </xf>
    <xf numFmtId="165" fontId="15" fillId="5" borderId="0" xfId="0" applyNumberFormat="1" applyFont="1" applyFill="1" applyAlignment="1">
      <alignment horizontal="center"/>
    </xf>
    <xf numFmtId="0" fontId="0" fillId="5" borderId="0" xfId="0" applyFill="1" applyAlignment="1"/>
    <xf numFmtId="0" fontId="0" fillId="5" borderId="0" xfId="0" applyFill="1" applyAlignment="1">
      <alignment horizontal="centerContinuous"/>
    </xf>
    <xf numFmtId="0" fontId="12" fillId="4" borderId="5" xfId="0" applyFont="1" applyFill="1" applyBorder="1" applyAlignment="1">
      <alignment horizontal="centerContinuous"/>
    </xf>
    <xf numFmtId="0" fontId="12" fillId="4" borderId="6" xfId="0" applyFont="1" applyFill="1" applyBorder="1" applyAlignment="1">
      <alignment horizontal="centerContinuous"/>
    </xf>
    <xf numFmtId="0" fontId="14" fillId="4" borderId="10" xfId="0" applyFont="1" applyFill="1" applyBorder="1" applyAlignment="1">
      <alignment horizontal="centerContinuous" vertical="center"/>
    </xf>
    <xf numFmtId="0" fontId="10" fillId="4" borderId="11" xfId="0" applyFont="1" applyFill="1" applyBorder="1" applyAlignment="1">
      <alignment horizontal="centerContinuous" vertical="center"/>
    </xf>
    <xf numFmtId="0" fontId="11" fillId="4" borderId="10" xfId="0" applyFont="1" applyFill="1" applyBorder="1" applyAlignment="1">
      <alignment horizontal="centerContinuous" vertical="center"/>
    </xf>
    <xf numFmtId="0" fontId="11" fillId="4" borderId="11" xfId="0" applyFont="1" applyFill="1" applyBorder="1" applyAlignment="1">
      <alignment horizontal="centerContinuous" vertical="center"/>
    </xf>
    <xf numFmtId="164" fontId="13" fillId="4" borderId="7" xfId="0" applyNumberFormat="1" applyFont="1" applyFill="1" applyBorder="1" applyAlignment="1">
      <alignment horizontal="center"/>
    </xf>
    <xf numFmtId="165" fontId="12" fillId="4" borderId="8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 vertical="center"/>
    </xf>
    <xf numFmtId="0" fontId="4" fillId="2" borderId="3" xfId="0" applyFont="1" applyFill="1" applyBorder="1" applyProtection="1">
      <protection locked="0"/>
    </xf>
    <xf numFmtId="0" fontId="5" fillId="4" borderId="8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 wrapText="1"/>
    </xf>
    <xf numFmtId="44" fontId="5" fillId="4" borderId="4" xfId="1" applyFont="1" applyFill="1" applyBorder="1" applyAlignment="1" applyProtection="1">
      <alignment horizontal="center" vertical="center"/>
    </xf>
    <xf numFmtId="22" fontId="0" fillId="5" borderId="0" xfId="0" applyNumberFormat="1" applyFill="1"/>
    <xf numFmtId="22" fontId="0" fillId="2" borderId="1" xfId="0" applyNumberFormat="1" applyFill="1" applyBorder="1"/>
    <xf numFmtId="0" fontId="0" fillId="2" borderId="1" xfId="0" applyFill="1" applyBorder="1"/>
    <xf numFmtId="44" fontId="4" fillId="2" borderId="12" xfId="1" applyFont="1" applyFill="1" applyBorder="1" applyProtection="1">
      <protection locked="0"/>
    </xf>
    <xf numFmtId="0" fontId="0" fillId="5" borderId="0" xfId="0" applyFill="1" applyBorder="1"/>
    <xf numFmtId="0" fontId="0" fillId="0" borderId="0" xfId="0" applyFill="1"/>
    <xf numFmtId="22" fontId="5" fillId="4" borderId="4" xfId="1" applyNumberFormat="1" applyFont="1" applyFill="1" applyBorder="1" applyAlignment="1" applyProtection="1">
      <alignment horizontal="center" vertical="center"/>
    </xf>
    <xf numFmtId="0" fontId="0" fillId="0" borderId="0" xfId="0" applyFill="1" applyBorder="1"/>
    <xf numFmtId="0" fontId="7" fillId="5" borderId="0" xfId="0" applyFont="1" applyFill="1" applyAlignment="1"/>
    <xf numFmtId="2" fontId="6" fillId="5" borderId="0" xfId="0" applyNumberFormat="1" applyFont="1" applyFill="1" applyAlignment="1"/>
    <xf numFmtId="0" fontId="0" fillId="4" borderId="0" xfId="0" applyFill="1" applyAlignment="1">
      <alignment horizontal="centerContinuous"/>
    </xf>
    <xf numFmtId="0" fontId="3" fillId="4" borderId="0" xfId="0" applyFont="1" applyFill="1" applyAlignment="1">
      <alignment horizontal="centerContinuous"/>
    </xf>
    <xf numFmtId="0" fontId="17" fillId="5" borderId="0" xfId="0" applyFont="1" applyFill="1"/>
    <xf numFmtId="0" fontId="4" fillId="2" borderId="3" xfId="0" applyFont="1" applyFill="1" applyBorder="1" applyAlignment="1" applyProtection="1">
      <alignment horizontal="center"/>
      <protection locked="0"/>
    </xf>
    <xf numFmtId="0" fontId="17" fillId="5" borderId="0" xfId="0" applyFont="1" applyFill="1" applyBorder="1"/>
    <xf numFmtId="164" fontId="4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Continuous"/>
    </xf>
    <xf numFmtId="165" fontId="15" fillId="0" borderId="0" xfId="0" applyNumberFormat="1" applyFont="1" applyFill="1" applyAlignment="1">
      <alignment horizontal="center"/>
    </xf>
    <xf numFmtId="0" fontId="17" fillId="0" borderId="0" xfId="0" applyFont="1" applyFill="1"/>
    <xf numFmtId="164" fontId="18" fillId="5" borderId="0" xfId="0" applyNumberFormat="1" applyFont="1" applyFill="1" applyBorder="1" applyAlignment="1">
      <alignment horizontal="center"/>
    </xf>
    <xf numFmtId="0" fontId="19" fillId="4" borderId="0" xfId="0" applyFont="1" applyFill="1" applyAlignment="1">
      <alignment horizontal="centerContinuous"/>
    </xf>
    <xf numFmtId="0" fontId="20" fillId="6" borderId="0" xfId="0" applyFont="1" applyFill="1" applyBorder="1" applyAlignment="1">
      <alignment horizontal="center"/>
    </xf>
    <xf numFmtId="164" fontId="13" fillId="4" borderId="1" xfId="0" applyNumberFormat="1" applyFont="1" applyFill="1" applyBorder="1" applyAlignment="1">
      <alignment horizontal="center"/>
    </xf>
    <xf numFmtId="165" fontId="12" fillId="4" borderId="1" xfId="0" applyNumberFormat="1" applyFont="1" applyFill="1" applyBorder="1" applyAlignment="1">
      <alignment horizontal="center"/>
    </xf>
    <xf numFmtId="0" fontId="21" fillId="4" borderId="0" xfId="0" applyFont="1" applyFill="1" applyBorder="1" applyAlignment="1">
      <alignment horizontal="centerContinuous" vertical="center"/>
    </xf>
    <xf numFmtId="164" fontId="4" fillId="7" borderId="1" xfId="0" applyNumberFormat="1" applyFont="1" applyFill="1" applyBorder="1" applyAlignment="1">
      <alignment horizontal="left"/>
    </xf>
    <xf numFmtId="9" fontId="4" fillId="7" borderId="1" xfId="2" applyFont="1" applyFill="1" applyBorder="1" applyAlignment="1">
      <alignment horizontal="right"/>
    </xf>
    <xf numFmtId="0" fontId="12" fillId="4" borderId="1" xfId="0" applyFont="1" applyFill="1" applyBorder="1" applyAlignment="1">
      <alignment horizontal="center"/>
    </xf>
    <xf numFmtId="9" fontId="22" fillId="3" borderId="1" xfId="0" applyNumberFormat="1" applyFont="1" applyFill="1" applyBorder="1" applyAlignment="1">
      <alignment horizontal="center"/>
    </xf>
    <xf numFmtId="0" fontId="0" fillId="3" borderId="0" xfId="0" applyFill="1"/>
    <xf numFmtId="0" fontId="17" fillId="3" borderId="0" xfId="0" applyFont="1" applyFill="1"/>
    <xf numFmtId="164" fontId="4" fillId="3" borderId="0" xfId="0" applyNumberFormat="1" applyFont="1" applyFill="1" applyBorder="1" applyAlignment="1">
      <alignment horizontal="center"/>
    </xf>
    <xf numFmtId="0" fontId="0" fillId="3" borderId="0" xfId="0" applyFill="1" applyAlignment="1">
      <alignment horizontal="centerContinuous"/>
    </xf>
    <xf numFmtId="0" fontId="0" fillId="3" borderId="0" xfId="0" applyFill="1" applyAlignment="1"/>
    <xf numFmtId="0" fontId="7" fillId="3" borderId="0" xfId="0" applyFont="1" applyFill="1" applyAlignment="1"/>
    <xf numFmtId="2" fontId="6" fillId="3" borderId="0" xfId="0" applyNumberFormat="1" applyFont="1" applyFill="1" applyAlignment="1"/>
    <xf numFmtId="0" fontId="17" fillId="3" borderId="0" xfId="0" applyFont="1" applyFill="1" applyAlignment="1">
      <alignment horizontal="centerContinuous"/>
    </xf>
    <xf numFmtId="0" fontId="8" fillId="3" borderId="0" xfId="0" applyFont="1" applyFill="1" applyAlignment="1">
      <alignment horizontal="centerContinuous"/>
    </xf>
    <xf numFmtId="0" fontId="5" fillId="3" borderId="0" xfId="0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/>
    </xf>
    <xf numFmtId="0" fontId="0" fillId="4" borderId="0" xfId="0" applyFill="1"/>
    <xf numFmtId="164" fontId="18" fillId="5" borderId="0" xfId="0" applyNumberFormat="1" applyFont="1" applyFill="1" applyBorder="1" applyAlignment="1">
      <alignment horizontal="left"/>
    </xf>
    <xf numFmtId="0" fontId="23" fillId="5" borderId="0" xfId="0" applyFont="1" applyFill="1" applyAlignment="1">
      <alignment horizontal="centerContinuous"/>
    </xf>
    <xf numFmtId="0" fontId="24" fillId="5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Continuous"/>
    </xf>
    <xf numFmtId="0" fontId="5" fillId="0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Continuous" vertical="center"/>
    </xf>
    <xf numFmtId="0" fontId="10" fillId="5" borderId="0" xfId="0" applyFont="1" applyFill="1" applyBorder="1" applyAlignment="1">
      <alignment horizontal="centerContinuous" vertical="center"/>
    </xf>
    <xf numFmtId="0" fontId="9" fillId="4" borderId="9" xfId="0" applyFont="1" applyFill="1" applyBorder="1" applyAlignment="1">
      <alignment horizontal="center"/>
    </xf>
    <xf numFmtId="164" fontId="25" fillId="4" borderId="1" xfId="0" applyNumberFormat="1" applyFont="1" applyFill="1" applyBorder="1" applyAlignment="1">
      <alignment horizontal="center"/>
    </xf>
    <xf numFmtId="0" fontId="4" fillId="3" borderId="3" xfId="0" applyFont="1" applyFill="1" applyBorder="1" applyProtection="1">
      <protection locked="0"/>
    </xf>
  </cellXfs>
  <cellStyles count="3">
    <cellStyle name="Moeda" xfId="1" builtinId="4"/>
    <cellStyle name="Normal" xfId="0" builtinId="0"/>
    <cellStyle name="Porcentagem" xfId="2" builtinId="5"/>
  </cellStyles>
  <dxfs count="7"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rgb="FFF9F6ED"/>
        </patternFill>
      </fill>
      <protection locked="0" hidden="0"/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D1AC97"/>
      <color rgb="FF924F26"/>
      <color rgb="FFF9F6ED"/>
      <color rgb="FFFEEACA"/>
      <color rgb="FFFFEBDD"/>
      <color rgb="FFFFE1CD"/>
      <color rgb="FFFFFFCC"/>
      <color rgb="FFDA1C7B"/>
      <color rgb="FFF8CD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108856</xdr:colOff>
      <xdr:row>2</xdr:row>
      <xdr:rowOff>163286</xdr:rowOff>
    </xdr:from>
    <xdr:to>
      <xdr:col>2</xdr:col>
      <xdr:colOff>664028</xdr:colOff>
      <xdr:row>5</xdr:row>
      <xdr:rowOff>97571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737D0A7-2507-B02F-1011-EE41A173C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856" y="533400"/>
          <a:ext cx="1883229" cy="772485"/>
        </a:xfrm>
        <a:prstGeom prst="rect">
          <a:avLst/>
        </a:prstGeom>
      </xdr:spPr>
    </xdr:pic>
    <xdr:clientData/>
  </xdr:twoCellAnchor>
  <xdr:twoCellAnchor>
    <xdr:from>
      <xdr:col>0</xdr:col>
      <xdr:colOff>119743</xdr:colOff>
      <xdr:row>16</xdr:row>
      <xdr:rowOff>76203</xdr:rowOff>
    </xdr:from>
    <xdr:to>
      <xdr:col>2</xdr:col>
      <xdr:colOff>609600</xdr:colOff>
      <xdr:row>18</xdr:row>
      <xdr:rowOff>65316</xdr:rowOff>
    </xdr:to>
    <xdr:sp macro="[0]!ARO_25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7553A64-68F0-FF68-4E01-810F799E7E24}"/>
            </a:ext>
          </a:extLst>
        </xdr:cNvPr>
        <xdr:cNvSpPr/>
      </xdr:nvSpPr>
      <xdr:spPr>
        <a:xfrm>
          <a:off x="119743" y="3483432"/>
          <a:ext cx="1817914" cy="380998"/>
        </a:xfrm>
        <a:prstGeom prst="roundRect">
          <a:avLst/>
        </a:prstGeom>
        <a:solidFill>
          <a:srgbClr val="924F26"/>
        </a:solidFill>
        <a:ln>
          <a:noFill/>
        </a:ln>
        <a:effectLst>
          <a:outerShdw blurRad="50800" dist="50800" dir="5400000" algn="ctr" rotWithShape="0">
            <a:schemeClr val="accent2">
              <a:lumMod val="75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PRECIFICAR ARO 25</a:t>
          </a:r>
          <a:endParaRPr lang="pt-BR">
            <a:effectLst/>
          </a:endParaRPr>
        </a:p>
        <a:p>
          <a:pPr marL="0" indent="0" algn="ctr"/>
          <a:endParaRPr lang="pt-BR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130628</xdr:colOff>
      <xdr:row>7</xdr:row>
      <xdr:rowOff>65314</xdr:rowOff>
    </xdr:from>
    <xdr:to>
      <xdr:col>2</xdr:col>
      <xdr:colOff>631371</xdr:colOff>
      <xdr:row>9</xdr:row>
      <xdr:rowOff>54429</xdr:rowOff>
    </xdr:to>
    <xdr:sp macro="[0]!ARO_10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E13B2F6E-2DFA-4A66-8288-074954B4C2F4}"/>
            </a:ext>
          </a:extLst>
        </xdr:cNvPr>
        <xdr:cNvSpPr/>
      </xdr:nvSpPr>
      <xdr:spPr>
        <a:xfrm>
          <a:off x="130628" y="1709057"/>
          <a:ext cx="1828800" cy="381001"/>
        </a:xfrm>
        <a:prstGeom prst="roundRect">
          <a:avLst/>
        </a:prstGeom>
        <a:solidFill>
          <a:srgbClr val="924F26"/>
        </a:solidFill>
        <a:ln>
          <a:noFill/>
        </a:ln>
        <a:effectLst>
          <a:outerShdw blurRad="50800" dist="50800" dir="5400000" algn="ctr" rotWithShape="0">
            <a:schemeClr val="accent2">
              <a:lumMod val="75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PRECIFICAR</a:t>
          </a:r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ARO 10</a:t>
          </a:r>
          <a:endParaRPr lang="pt-BR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130627</xdr:colOff>
      <xdr:row>10</xdr:row>
      <xdr:rowOff>65316</xdr:rowOff>
    </xdr:from>
    <xdr:to>
      <xdr:col>2</xdr:col>
      <xdr:colOff>631371</xdr:colOff>
      <xdr:row>12</xdr:row>
      <xdr:rowOff>54430</xdr:rowOff>
    </xdr:to>
    <xdr:sp macro="[0]!ARO_15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B0C066A1-F777-40D5-91CF-EA265AE3A8A5}"/>
            </a:ext>
          </a:extLst>
        </xdr:cNvPr>
        <xdr:cNvSpPr/>
      </xdr:nvSpPr>
      <xdr:spPr>
        <a:xfrm>
          <a:off x="130627" y="2296887"/>
          <a:ext cx="1828801" cy="381000"/>
        </a:xfrm>
        <a:prstGeom prst="roundRect">
          <a:avLst/>
        </a:prstGeom>
        <a:solidFill>
          <a:srgbClr val="924F26"/>
        </a:solidFill>
        <a:ln>
          <a:noFill/>
        </a:ln>
        <a:effectLst>
          <a:outerShdw blurRad="50800" dist="50800" dir="5400000" algn="ctr" rotWithShape="0">
            <a:schemeClr val="accent2">
              <a:lumMod val="75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t-BR" sz="1200" b="1">
              <a:solidFill>
                <a:schemeClr val="lt1"/>
              </a:solidFill>
              <a:latin typeface="+mn-lt"/>
              <a:ea typeface="+mn-ea"/>
              <a:cs typeface="+mn-cs"/>
            </a:rPr>
            <a:t>PRECIFICAR ARO 15</a:t>
          </a:r>
        </a:p>
      </xdr:txBody>
    </xdr:sp>
    <xdr:clientData/>
  </xdr:twoCellAnchor>
  <xdr:twoCellAnchor>
    <xdr:from>
      <xdr:col>0</xdr:col>
      <xdr:colOff>119743</xdr:colOff>
      <xdr:row>13</xdr:row>
      <xdr:rowOff>76200</xdr:rowOff>
    </xdr:from>
    <xdr:to>
      <xdr:col>2</xdr:col>
      <xdr:colOff>620486</xdr:colOff>
      <xdr:row>15</xdr:row>
      <xdr:rowOff>65312</xdr:rowOff>
    </xdr:to>
    <xdr:sp macro="[0]!ARO_20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8BDFEDAB-398B-4C43-8CB2-98236E171EF1}"/>
            </a:ext>
          </a:extLst>
        </xdr:cNvPr>
        <xdr:cNvSpPr/>
      </xdr:nvSpPr>
      <xdr:spPr>
        <a:xfrm>
          <a:off x="119743" y="2895600"/>
          <a:ext cx="1828800" cy="380998"/>
        </a:xfrm>
        <a:prstGeom prst="roundRect">
          <a:avLst/>
        </a:prstGeom>
        <a:solidFill>
          <a:srgbClr val="924F26"/>
        </a:solidFill>
        <a:ln>
          <a:noFill/>
        </a:ln>
        <a:effectLst>
          <a:outerShdw blurRad="50800" dist="50800" dir="5400000" algn="ctr" rotWithShape="0">
            <a:schemeClr val="accent2">
              <a:lumMod val="75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PRECIFICAR ARO 20</a:t>
          </a:r>
          <a:endParaRPr lang="pt-BR">
            <a:effectLst/>
          </a:endParaRPr>
        </a:p>
      </xdr:txBody>
    </xdr:sp>
    <xdr:clientData/>
  </xdr:twoCellAnchor>
  <xdr:twoCellAnchor editAs="oneCell">
    <xdr:from>
      <xdr:col>4</xdr:col>
      <xdr:colOff>1894114</xdr:colOff>
      <xdr:row>1</xdr:row>
      <xdr:rowOff>12895</xdr:rowOff>
    </xdr:from>
    <xdr:to>
      <xdr:col>5</xdr:col>
      <xdr:colOff>685800</xdr:colOff>
      <xdr:row>4</xdr:row>
      <xdr:rowOff>143524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871F29C-B34D-0B7B-453F-DAD7E9692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459310">
          <a:off x="4027714" y="197952"/>
          <a:ext cx="968829" cy="9688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365170</xdr:colOff>
      <xdr:row>1</xdr:row>
      <xdr:rowOff>141519</xdr:rowOff>
    </xdr:from>
    <xdr:to>
      <xdr:col>2</xdr:col>
      <xdr:colOff>1501242</xdr:colOff>
      <xdr:row>5</xdr:row>
      <xdr:rowOff>30114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77C6272-0490-4582-AB56-9B304BAD2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3141" y="250376"/>
          <a:ext cx="1538844" cy="715909"/>
        </a:xfrm>
        <a:prstGeom prst="rect">
          <a:avLst/>
        </a:prstGeom>
      </xdr:spPr>
    </xdr:pic>
    <xdr:clientData/>
  </xdr:twoCellAnchor>
  <xdr:twoCellAnchor editAs="oneCell">
    <xdr:from>
      <xdr:col>13</xdr:col>
      <xdr:colOff>155407</xdr:colOff>
      <xdr:row>6</xdr:row>
      <xdr:rowOff>123088</xdr:rowOff>
    </xdr:from>
    <xdr:to>
      <xdr:col>15</xdr:col>
      <xdr:colOff>528993</xdr:colOff>
      <xdr:row>9</xdr:row>
      <xdr:rowOff>173195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F1AB20C-0242-1EDC-DB96-1336CF860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10889">
          <a:off x="12445378" y="1287859"/>
          <a:ext cx="732815" cy="7359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415636</xdr:colOff>
      <xdr:row>2</xdr:row>
      <xdr:rowOff>10889</xdr:rowOff>
    </xdr:from>
    <xdr:to>
      <xdr:col>2</xdr:col>
      <xdr:colOff>1510146</xdr:colOff>
      <xdr:row>5</xdr:row>
      <xdr:rowOff>171626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01FD50F-C9B4-4705-A067-39594B39C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891" y="371107"/>
          <a:ext cx="1537855" cy="701064"/>
        </a:xfrm>
        <a:prstGeom prst="rect">
          <a:avLst/>
        </a:prstGeom>
      </xdr:spPr>
    </xdr:pic>
    <xdr:clientData/>
  </xdr:twoCellAnchor>
  <xdr:twoCellAnchor editAs="oneCell">
    <xdr:from>
      <xdr:col>13</xdr:col>
      <xdr:colOff>315685</xdr:colOff>
      <xdr:row>6</xdr:row>
      <xdr:rowOff>54428</xdr:rowOff>
    </xdr:from>
    <xdr:to>
      <xdr:col>14</xdr:col>
      <xdr:colOff>569528</xdr:colOff>
      <xdr:row>9</xdr:row>
      <xdr:rowOff>104535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D028E9D-96B3-4F06-A44D-4D166F1D4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10889">
          <a:off x="13422085" y="1230085"/>
          <a:ext cx="732815" cy="73590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27709</xdr:colOff>
      <xdr:row>1</xdr:row>
      <xdr:rowOff>135580</xdr:rowOff>
    </xdr:from>
    <xdr:to>
      <xdr:col>2</xdr:col>
      <xdr:colOff>1565564</xdr:colOff>
      <xdr:row>5</xdr:row>
      <xdr:rowOff>116207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93447CF-959D-4CF0-A612-A3D73893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6909" y="315689"/>
          <a:ext cx="1537855" cy="701064"/>
        </a:xfrm>
        <a:prstGeom prst="rect">
          <a:avLst/>
        </a:prstGeom>
      </xdr:spPr>
    </xdr:pic>
    <xdr:clientData/>
  </xdr:twoCellAnchor>
  <xdr:twoCellAnchor editAs="oneCell">
    <xdr:from>
      <xdr:col>13</xdr:col>
      <xdr:colOff>484910</xdr:colOff>
      <xdr:row>5</xdr:row>
      <xdr:rowOff>219364</xdr:rowOff>
    </xdr:from>
    <xdr:to>
      <xdr:col>14</xdr:col>
      <xdr:colOff>605816</xdr:colOff>
      <xdr:row>9</xdr:row>
      <xdr:rowOff>31635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6926260-39DE-47AD-B07A-F8F0F1AF4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10889">
          <a:off x="13323455" y="1073728"/>
          <a:ext cx="732815" cy="7359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41564</xdr:colOff>
      <xdr:row>1</xdr:row>
      <xdr:rowOff>163289</xdr:rowOff>
    </xdr:from>
    <xdr:to>
      <xdr:col>2</xdr:col>
      <xdr:colOff>1579419</xdr:colOff>
      <xdr:row>5</xdr:row>
      <xdr:rowOff>88498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8B11690-FA03-2ECA-CAC8-FB43B55A0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1164" y="343398"/>
          <a:ext cx="1537855" cy="701064"/>
        </a:xfrm>
        <a:prstGeom prst="rect">
          <a:avLst/>
        </a:prstGeom>
      </xdr:spPr>
    </xdr:pic>
    <xdr:clientData/>
  </xdr:twoCellAnchor>
  <xdr:twoCellAnchor editAs="oneCell">
    <xdr:from>
      <xdr:col>13</xdr:col>
      <xdr:colOff>304800</xdr:colOff>
      <xdr:row>5</xdr:row>
      <xdr:rowOff>83128</xdr:rowOff>
    </xdr:from>
    <xdr:to>
      <xdr:col>14</xdr:col>
      <xdr:colOff>524997</xdr:colOff>
      <xdr:row>8</xdr:row>
      <xdr:rowOff>154017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7316CC6-FAA2-46A0-B128-D90FA89B1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10889">
          <a:off x="13480473" y="1039092"/>
          <a:ext cx="732815" cy="73590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8B9E7D-2517-4012-AB5E-691AF0DEF0A2}" name="Tabela1" displayName="Tabela1" ref="D7:H484" totalsRowShown="0" headerRowBorderDxfId="6" tableBorderDxfId="5">
  <sortState xmlns:xlrd2="http://schemas.microsoft.com/office/spreadsheetml/2017/richdata2" ref="E8:H484">
    <sortCondition ref="E7:E484"/>
  </sortState>
  <tableColumns count="5">
    <tableColumn id="7" xr3:uid="{BB613FEE-9913-44B0-B3E9-301B4A6E6E89}" name="Coluna1" dataDxfId="4"/>
    <tableColumn id="1" xr3:uid="{8E515CB3-D215-44E5-AF66-C5185E531249}" name="INGREDIENTES" dataDxfId="3"/>
    <tableColumn id="2" xr3:uid="{66A90F0F-AA4F-4495-BC54-9AA1A4B9B0B2}" name="QTD GRAMAS EMBALAGEM" dataDxfId="2"/>
    <tableColumn id="3" xr3:uid="{592D2039-4482-47F9-9B9F-F151A9EED881}" name="PREÇO EMBALAGEM" dataDxfId="1" dataCellStyle="Moeda"/>
    <tableColumn id="4" xr3:uid="{3E371259-BFB0-4996-A8AF-86A467FC787D}" name="Dt úlltima atualizaçã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8B122-863A-403D-9210-DE2B281F2DF9}">
  <sheetPr codeName="Planilha1"/>
  <dimension ref="A1:J490"/>
  <sheetViews>
    <sheetView showGridLines="0" topLeftCell="A6" zoomScale="70" zoomScaleNormal="70" workbookViewId="0">
      <selection activeCell="E15" sqref="E15"/>
    </sheetView>
  </sheetViews>
  <sheetFormatPr defaultColWidth="8.77734375" defaultRowHeight="14.4" x14ac:dyDescent="0.3"/>
  <cols>
    <col min="1" max="1" width="10.5546875" style="15" customWidth="1"/>
    <col min="2" max="2" width="8.77734375" style="15"/>
    <col min="3" max="3" width="11.109375" style="15" customWidth="1"/>
    <col min="4" max="4" width="0.5546875" style="40" customWidth="1"/>
    <col min="5" max="6" width="31.77734375" style="41" customWidth="1"/>
    <col min="7" max="7" width="30.109375" style="41" bestFit="1" customWidth="1"/>
    <col min="8" max="8" width="25.5546875" style="15" bestFit="1" customWidth="1"/>
    <col min="9" max="9" width="3.77734375" style="48" customWidth="1"/>
    <col min="10" max="10" width="7.88671875" style="15" customWidth="1"/>
    <col min="11" max="16384" width="8.77734375" style="41"/>
  </cols>
  <sheetData>
    <row r="1" spans="4:8" x14ac:dyDescent="0.3">
      <c r="E1" s="15"/>
      <c r="F1" s="15"/>
      <c r="G1" s="15"/>
      <c r="H1" s="36"/>
    </row>
    <row r="2" spans="4:8" x14ac:dyDescent="0.3">
      <c r="E2" s="15"/>
      <c r="F2" s="15"/>
      <c r="G2" s="15"/>
    </row>
    <row r="3" spans="4:8" ht="18" x14ac:dyDescent="0.3">
      <c r="E3" s="31" t="s">
        <v>33</v>
      </c>
      <c r="F3" s="15"/>
      <c r="G3" s="15"/>
      <c r="H3" s="36"/>
    </row>
    <row r="4" spans="4:8" ht="33.6" x14ac:dyDescent="0.65">
      <c r="E4" s="57">
        <f>COUNTA(E8:E384)</f>
        <v>34</v>
      </c>
      <c r="F4" s="15"/>
      <c r="G4" s="15"/>
    </row>
    <row r="5" spans="4:8" x14ac:dyDescent="0.3">
      <c r="E5" s="15"/>
      <c r="F5" s="15"/>
      <c r="G5" s="15"/>
    </row>
    <row r="6" spans="4:8" ht="23.4" x14ac:dyDescent="0.45">
      <c r="E6" s="56" t="s">
        <v>55</v>
      </c>
      <c r="F6" s="47"/>
      <c r="G6" s="47"/>
      <c r="H6" s="47"/>
    </row>
    <row r="7" spans="4:8" ht="15.6" x14ac:dyDescent="0.3">
      <c r="D7" s="50" t="s">
        <v>56</v>
      </c>
      <c r="E7" s="33" t="s">
        <v>0</v>
      </c>
      <c r="F7" s="34" t="s">
        <v>52</v>
      </c>
      <c r="G7" s="35" t="s">
        <v>53</v>
      </c>
      <c r="H7" s="42" t="s">
        <v>57</v>
      </c>
    </row>
    <row r="8" spans="4:8" ht="15.6" x14ac:dyDescent="0.3">
      <c r="E8" s="32" t="s">
        <v>4</v>
      </c>
      <c r="F8" s="1">
        <v>1000</v>
      </c>
      <c r="G8" s="2">
        <v>5</v>
      </c>
      <c r="H8" s="37">
        <v>46029.85733796296</v>
      </c>
    </row>
    <row r="9" spans="4:8" ht="15.6" x14ac:dyDescent="0.3">
      <c r="E9" s="32" t="s">
        <v>32</v>
      </c>
      <c r="F9" s="1">
        <v>500</v>
      </c>
      <c r="G9" s="3">
        <v>5</v>
      </c>
      <c r="H9" s="37">
        <v>46029.852326388886</v>
      </c>
    </row>
    <row r="10" spans="4:8" ht="15.6" x14ac:dyDescent="0.3">
      <c r="E10" s="32" t="s">
        <v>45</v>
      </c>
      <c r="F10" s="1">
        <v>1000</v>
      </c>
      <c r="G10" s="2">
        <v>80</v>
      </c>
      <c r="H10" s="37">
        <v>46052.772905092592</v>
      </c>
    </row>
    <row r="11" spans="4:8" ht="15.6" x14ac:dyDescent="0.3">
      <c r="E11" s="32" t="s">
        <v>39</v>
      </c>
      <c r="F11" s="1">
        <v>1</v>
      </c>
      <c r="G11" s="2">
        <v>7</v>
      </c>
      <c r="H11" s="37">
        <v>46029.852349537039</v>
      </c>
    </row>
    <row r="12" spans="4:8" ht="15.6" x14ac:dyDescent="0.3">
      <c r="E12" s="32" t="s">
        <v>40</v>
      </c>
      <c r="F12" s="1">
        <v>1</v>
      </c>
      <c r="G12" s="3">
        <v>8</v>
      </c>
      <c r="H12" s="37">
        <v>46029.852372685185</v>
      </c>
    </row>
    <row r="13" spans="4:8" ht="15.6" x14ac:dyDescent="0.3">
      <c r="E13" s="32" t="s">
        <v>41</v>
      </c>
      <c r="F13" s="1">
        <v>1</v>
      </c>
      <c r="G13" s="3">
        <v>9</v>
      </c>
      <c r="H13" s="37">
        <v>46029.852384259262</v>
      </c>
    </row>
    <row r="14" spans="4:8" ht="15.6" x14ac:dyDescent="0.3">
      <c r="E14" s="32" t="s">
        <v>42</v>
      </c>
      <c r="F14" s="1">
        <v>1</v>
      </c>
      <c r="G14" s="3">
        <v>10</v>
      </c>
      <c r="H14" s="37">
        <v>46029.852395833332</v>
      </c>
    </row>
    <row r="15" spans="4:8" ht="15.6" x14ac:dyDescent="0.3">
      <c r="E15" s="32" t="s">
        <v>35</v>
      </c>
      <c r="F15" s="1">
        <v>1</v>
      </c>
      <c r="G15" s="3">
        <v>4</v>
      </c>
      <c r="H15" s="37">
        <v>46029.852418981478</v>
      </c>
    </row>
    <row r="16" spans="4:8" ht="15.6" x14ac:dyDescent="0.3">
      <c r="E16" s="32" t="s">
        <v>34</v>
      </c>
      <c r="F16" s="1">
        <v>1</v>
      </c>
      <c r="G16" s="3">
        <v>5.5</v>
      </c>
      <c r="H16" s="37">
        <v>46029.852442129632</v>
      </c>
    </row>
    <row r="17" spans="5:8" ht="15.6" x14ac:dyDescent="0.3">
      <c r="E17" s="32" t="s">
        <v>36</v>
      </c>
      <c r="F17" s="1">
        <v>1</v>
      </c>
      <c r="G17" s="3">
        <v>7</v>
      </c>
      <c r="H17" s="37">
        <v>46029.852453703701</v>
      </c>
    </row>
    <row r="18" spans="5:8" ht="15.6" x14ac:dyDescent="0.3">
      <c r="E18" s="32" t="s">
        <v>37</v>
      </c>
      <c r="F18" s="1">
        <v>1</v>
      </c>
      <c r="G18" s="3">
        <v>9</v>
      </c>
      <c r="H18" s="37">
        <v>46029.852453703701</v>
      </c>
    </row>
    <row r="19" spans="5:8" ht="15.6" x14ac:dyDescent="0.3">
      <c r="E19" s="32" t="s">
        <v>11</v>
      </c>
      <c r="F19" s="1">
        <v>1000</v>
      </c>
      <c r="G19" s="2">
        <v>20.888999999999999</v>
      </c>
      <c r="H19" s="37">
        <v>46029.852476851855</v>
      </c>
    </row>
    <row r="20" spans="5:8" ht="15.6" x14ac:dyDescent="0.3">
      <c r="E20" s="32" t="s">
        <v>8</v>
      </c>
      <c r="F20" s="1">
        <v>1000</v>
      </c>
      <c r="G20" s="2">
        <v>60</v>
      </c>
      <c r="H20" s="37">
        <v>46052.772777777776</v>
      </c>
    </row>
    <row r="21" spans="5:8" ht="15.6" x14ac:dyDescent="0.3">
      <c r="E21" s="32" t="s">
        <v>30</v>
      </c>
      <c r="F21" s="1">
        <v>1000</v>
      </c>
      <c r="G21" s="2">
        <v>110</v>
      </c>
      <c r="H21" s="37">
        <v>46052.772685185184</v>
      </c>
    </row>
    <row r="22" spans="5:8" ht="15.6" x14ac:dyDescent="0.3">
      <c r="E22" s="32" t="s">
        <v>7</v>
      </c>
      <c r="F22" s="1">
        <v>200</v>
      </c>
      <c r="G22" s="2">
        <v>3</v>
      </c>
      <c r="H22" s="37">
        <v>46052.772627314815</v>
      </c>
    </row>
    <row r="23" spans="5:8" ht="15.6" x14ac:dyDescent="0.3">
      <c r="E23" s="32" t="s">
        <v>31</v>
      </c>
      <c r="F23" s="1">
        <v>500</v>
      </c>
      <c r="G23" s="2">
        <v>14.3</v>
      </c>
      <c r="H23" s="37">
        <v>46029.852523148147</v>
      </c>
    </row>
    <row r="24" spans="5:8" ht="15.6" x14ac:dyDescent="0.3">
      <c r="E24" s="32" t="s">
        <v>5</v>
      </c>
      <c r="F24" s="1">
        <v>1000</v>
      </c>
      <c r="G24" s="2">
        <v>5</v>
      </c>
      <c r="H24" s="37">
        <v>46052.772523148145</v>
      </c>
    </row>
    <row r="25" spans="5:8" ht="15.6" x14ac:dyDescent="0.3">
      <c r="E25" s="32" t="s">
        <v>13</v>
      </c>
      <c r="F25" s="1">
        <v>100</v>
      </c>
      <c r="G25" s="2">
        <v>8.25</v>
      </c>
      <c r="H25" s="37">
        <v>46029.85255787037</v>
      </c>
    </row>
    <row r="26" spans="5:8" ht="15.6" x14ac:dyDescent="0.3">
      <c r="E26" s="32" t="s">
        <v>6</v>
      </c>
      <c r="F26" s="1">
        <v>395</v>
      </c>
      <c r="G26" s="2">
        <v>6</v>
      </c>
      <c r="H26" s="37">
        <v>46052.77239583333</v>
      </c>
    </row>
    <row r="27" spans="5:8" ht="15.6" x14ac:dyDescent="0.3">
      <c r="E27" s="32" t="s">
        <v>9</v>
      </c>
      <c r="F27" s="1">
        <v>400</v>
      </c>
      <c r="G27" s="2">
        <v>21.89</v>
      </c>
      <c r="H27" s="37">
        <v>46029.852569444447</v>
      </c>
    </row>
    <row r="28" spans="5:8" ht="15.6" x14ac:dyDescent="0.3">
      <c r="E28" s="32" t="s">
        <v>43</v>
      </c>
      <c r="F28" s="1">
        <v>200</v>
      </c>
      <c r="G28" s="2">
        <v>13</v>
      </c>
      <c r="H28" s="37">
        <v>46029.852592592593</v>
      </c>
    </row>
    <row r="29" spans="5:8" ht="15.6" x14ac:dyDescent="0.3">
      <c r="E29" s="32" t="s">
        <v>44</v>
      </c>
      <c r="F29" s="1">
        <v>500</v>
      </c>
      <c r="G29" s="39">
        <v>10</v>
      </c>
      <c r="H29" s="37">
        <v>46029.85260416667</v>
      </c>
    </row>
    <row r="30" spans="5:8" ht="15.6" x14ac:dyDescent="0.3">
      <c r="E30" s="32" t="s">
        <v>12</v>
      </c>
      <c r="F30" s="1">
        <v>900</v>
      </c>
      <c r="G30" s="2">
        <v>6</v>
      </c>
      <c r="H30" s="37">
        <v>46052.772187499999</v>
      </c>
    </row>
    <row r="31" spans="5:8" ht="15.6" x14ac:dyDescent="0.3">
      <c r="E31" s="32" t="s">
        <v>3</v>
      </c>
      <c r="F31" s="1">
        <v>30</v>
      </c>
      <c r="G31" s="2">
        <v>20</v>
      </c>
      <c r="H31" s="37">
        <v>46052.772118055553</v>
      </c>
    </row>
    <row r="32" spans="5:8" ht="15.6" x14ac:dyDescent="0.3">
      <c r="E32" s="32" t="s">
        <v>29</v>
      </c>
      <c r="F32" s="1">
        <v>100</v>
      </c>
      <c r="G32" s="2">
        <v>110</v>
      </c>
      <c r="H32" s="37">
        <v>46029.852638888886</v>
      </c>
    </row>
    <row r="33" spans="5:8" ht="15.6" x14ac:dyDescent="0.3">
      <c r="E33" s="32" t="s">
        <v>10</v>
      </c>
      <c r="F33" s="1">
        <v>1</v>
      </c>
      <c r="G33" s="2">
        <v>35</v>
      </c>
      <c r="H33" s="37">
        <v>46052.772013888891</v>
      </c>
    </row>
    <row r="34" spans="5:8" ht="15.6" x14ac:dyDescent="0.3">
      <c r="E34" s="32" t="s">
        <v>46</v>
      </c>
      <c r="F34" s="1">
        <v>1000</v>
      </c>
      <c r="G34" s="3">
        <v>5</v>
      </c>
      <c r="H34" s="37">
        <v>46029.856840277775</v>
      </c>
    </row>
    <row r="35" spans="5:8" ht="15.6" x14ac:dyDescent="0.3">
      <c r="E35" s="32" t="s">
        <v>47</v>
      </c>
      <c r="F35" s="1">
        <v>500</v>
      </c>
      <c r="G35" s="3">
        <v>20</v>
      </c>
      <c r="H35" s="37">
        <v>46052.771932870368</v>
      </c>
    </row>
    <row r="36" spans="5:8" ht="15.6" x14ac:dyDescent="0.3">
      <c r="E36" s="32" t="s">
        <v>48</v>
      </c>
      <c r="F36" s="1">
        <v>380</v>
      </c>
      <c r="G36" s="3">
        <v>22</v>
      </c>
      <c r="H36" s="37">
        <v>46052.771817129629</v>
      </c>
    </row>
    <row r="37" spans="5:8" ht="15.6" x14ac:dyDescent="0.3">
      <c r="E37" s="32" t="s">
        <v>49</v>
      </c>
      <c r="F37" s="1">
        <v>350</v>
      </c>
      <c r="G37" s="3">
        <v>50</v>
      </c>
      <c r="H37" s="37">
        <v>46056.879699074074</v>
      </c>
    </row>
    <row r="38" spans="5:8" ht="15.6" x14ac:dyDescent="0.3">
      <c r="E38" s="32" t="s">
        <v>50</v>
      </c>
      <c r="F38" s="1">
        <v>500</v>
      </c>
      <c r="G38" s="3">
        <v>35</v>
      </c>
      <c r="H38" s="37">
        <v>46056.852465277778</v>
      </c>
    </row>
    <row r="39" spans="5:8" ht="15.6" x14ac:dyDescent="0.3">
      <c r="E39" s="32" t="s">
        <v>51</v>
      </c>
      <c r="F39" s="1">
        <v>200</v>
      </c>
      <c r="G39" s="3">
        <v>10</v>
      </c>
      <c r="H39" s="37">
        <v>46052.796944444446</v>
      </c>
    </row>
    <row r="40" spans="5:8" ht="15.6" x14ac:dyDescent="0.3">
      <c r="E40" s="32" t="s">
        <v>61</v>
      </c>
      <c r="F40" s="1">
        <v>200</v>
      </c>
      <c r="G40" s="3">
        <v>25</v>
      </c>
      <c r="H40" s="37">
        <v>46056.880543981482</v>
      </c>
    </row>
    <row r="41" spans="5:8" ht="15.6" x14ac:dyDescent="0.3">
      <c r="E41" s="32" t="s">
        <v>62</v>
      </c>
      <c r="F41" s="1">
        <v>100</v>
      </c>
      <c r="G41" s="3">
        <v>28</v>
      </c>
      <c r="H41" s="37">
        <v>46056.880868055552</v>
      </c>
    </row>
    <row r="42" spans="5:8" ht="15.6" x14ac:dyDescent="0.3">
      <c r="E42" s="32"/>
      <c r="F42" s="1"/>
      <c r="G42" s="3"/>
      <c r="H42" s="37">
        <v>46052.886238425926</v>
      </c>
    </row>
    <row r="43" spans="5:8" ht="15.6" x14ac:dyDescent="0.3">
      <c r="E43" s="32"/>
      <c r="F43" s="1"/>
      <c r="G43" s="3"/>
      <c r="H43" s="37">
        <v>46052.898599537039</v>
      </c>
    </row>
    <row r="44" spans="5:8" ht="15.6" x14ac:dyDescent="0.3">
      <c r="E44" s="32"/>
      <c r="F44" s="1"/>
      <c r="G44" s="3"/>
      <c r="H44" s="38"/>
    </row>
    <row r="45" spans="5:8" ht="15.6" x14ac:dyDescent="0.3">
      <c r="E45" s="32"/>
      <c r="F45" s="1"/>
      <c r="G45" s="3"/>
      <c r="H45" s="38"/>
    </row>
    <row r="46" spans="5:8" ht="15.6" x14ac:dyDescent="0.3">
      <c r="E46" s="32"/>
      <c r="F46" s="1"/>
      <c r="G46" s="3"/>
      <c r="H46" s="38"/>
    </row>
    <row r="47" spans="5:8" ht="15.6" x14ac:dyDescent="0.3">
      <c r="E47" s="32"/>
      <c r="F47" s="1"/>
      <c r="G47" s="3"/>
      <c r="H47" s="38"/>
    </row>
    <row r="48" spans="5:8" ht="15.6" x14ac:dyDescent="0.3">
      <c r="E48" s="32"/>
      <c r="F48" s="1"/>
      <c r="G48" s="3"/>
      <c r="H48" s="38"/>
    </row>
    <row r="49" spans="5:8" ht="15.6" x14ac:dyDescent="0.3">
      <c r="E49" s="32"/>
      <c r="F49" s="1"/>
      <c r="G49" s="3"/>
      <c r="H49" s="38"/>
    </row>
    <row r="50" spans="5:8" ht="15.6" x14ac:dyDescent="0.3">
      <c r="E50" s="32"/>
      <c r="F50" s="1"/>
      <c r="G50" s="3"/>
      <c r="H50" s="38"/>
    </row>
    <row r="51" spans="5:8" ht="15.6" x14ac:dyDescent="0.3">
      <c r="E51" s="32"/>
      <c r="F51" s="1"/>
      <c r="G51" s="3"/>
      <c r="H51" s="38"/>
    </row>
    <row r="52" spans="5:8" ht="15.6" x14ac:dyDescent="0.3">
      <c r="E52" s="32"/>
      <c r="F52" s="1"/>
      <c r="G52" s="3"/>
      <c r="H52" s="38"/>
    </row>
    <row r="53" spans="5:8" ht="15.6" x14ac:dyDescent="0.3">
      <c r="E53" s="32"/>
      <c r="F53" s="1"/>
      <c r="G53" s="3"/>
      <c r="H53" s="38"/>
    </row>
    <row r="54" spans="5:8" ht="15.6" x14ac:dyDescent="0.3">
      <c r="E54" s="32"/>
      <c r="F54" s="1"/>
      <c r="G54" s="3"/>
      <c r="H54" s="38"/>
    </row>
    <row r="55" spans="5:8" ht="15.6" x14ac:dyDescent="0.3">
      <c r="E55" s="32"/>
      <c r="F55" s="1"/>
      <c r="G55" s="3"/>
      <c r="H55" s="38"/>
    </row>
    <row r="56" spans="5:8" ht="15.6" x14ac:dyDescent="0.3">
      <c r="E56" s="32"/>
      <c r="F56" s="1"/>
      <c r="G56" s="3"/>
      <c r="H56" s="38"/>
    </row>
    <row r="57" spans="5:8" ht="15.6" x14ac:dyDescent="0.3">
      <c r="E57" s="32"/>
      <c r="F57" s="1"/>
      <c r="G57" s="3"/>
      <c r="H57" s="38"/>
    </row>
    <row r="58" spans="5:8" ht="15.6" x14ac:dyDescent="0.3">
      <c r="E58" s="32"/>
      <c r="F58" s="1"/>
      <c r="G58" s="3"/>
      <c r="H58" s="38"/>
    </row>
    <row r="59" spans="5:8" ht="15.6" x14ac:dyDescent="0.3">
      <c r="E59" s="32"/>
      <c r="F59" s="1"/>
      <c r="G59" s="3"/>
      <c r="H59" s="38"/>
    </row>
    <row r="60" spans="5:8" ht="15.6" x14ac:dyDescent="0.3">
      <c r="E60" s="32"/>
      <c r="F60" s="1"/>
      <c r="G60" s="3"/>
      <c r="H60" s="38"/>
    </row>
    <row r="61" spans="5:8" ht="15.6" x14ac:dyDescent="0.3">
      <c r="E61" s="32"/>
      <c r="F61" s="1"/>
      <c r="G61" s="3"/>
      <c r="H61" s="38"/>
    </row>
    <row r="62" spans="5:8" ht="15.6" x14ac:dyDescent="0.3">
      <c r="E62" s="32"/>
      <c r="F62" s="1"/>
      <c r="G62" s="3"/>
      <c r="H62" s="38"/>
    </row>
    <row r="63" spans="5:8" ht="15.6" x14ac:dyDescent="0.3">
      <c r="E63" s="32"/>
      <c r="F63" s="1"/>
      <c r="G63" s="3"/>
      <c r="H63" s="38"/>
    </row>
    <row r="64" spans="5:8" ht="15.6" x14ac:dyDescent="0.3">
      <c r="E64" s="32"/>
      <c r="F64" s="1"/>
      <c r="G64" s="3"/>
      <c r="H64" s="38"/>
    </row>
    <row r="65" spans="5:8" ht="15.6" x14ac:dyDescent="0.3">
      <c r="E65" s="32"/>
      <c r="F65" s="1"/>
      <c r="G65" s="3"/>
      <c r="H65" s="38"/>
    </row>
    <row r="66" spans="5:8" ht="15.6" x14ac:dyDescent="0.3">
      <c r="E66" s="32"/>
      <c r="F66" s="1"/>
      <c r="G66" s="3"/>
      <c r="H66" s="38"/>
    </row>
    <row r="67" spans="5:8" ht="15.6" x14ac:dyDescent="0.3">
      <c r="E67" s="32"/>
      <c r="F67" s="1"/>
      <c r="G67" s="3"/>
      <c r="H67" s="38"/>
    </row>
    <row r="68" spans="5:8" ht="15.6" x14ac:dyDescent="0.3">
      <c r="E68" s="32"/>
      <c r="F68" s="1"/>
      <c r="G68" s="3"/>
      <c r="H68" s="38"/>
    </row>
    <row r="69" spans="5:8" ht="15.6" x14ac:dyDescent="0.3">
      <c r="E69" s="32"/>
      <c r="F69" s="1"/>
      <c r="G69" s="3"/>
      <c r="H69" s="38"/>
    </row>
    <row r="70" spans="5:8" ht="15.6" x14ac:dyDescent="0.3">
      <c r="E70" s="32"/>
      <c r="F70" s="1"/>
      <c r="G70" s="3"/>
      <c r="H70" s="38"/>
    </row>
    <row r="71" spans="5:8" ht="15.6" x14ac:dyDescent="0.3">
      <c r="E71" s="32"/>
      <c r="F71" s="1"/>
      <c r="G71" s="3"/>
      <c r="H71" s="38"/>
    </row>
    <row r="72" spans="5:8" ht="15.6" x14ac:dyDescent="0.3">
      <c r="E72" s="32"/>
      <c r="F72" s="1"/>
      <c r="G72" s="3"/>
      <c r="H72" s="38"/>
    </row>
    <row r="73" spans="5:8" ht="15.6" x14ac:dyDescent="0.3">
      <c r="E73" s="32"/>
      <c r="F73" s="1"/>
      <c r="G73" s="3"/>
      <c r="H73" s="38"/>
    </row>
    <row r="74" spans="5:8" ht="15.6" x14ac:dyDescent="0.3">
      <c r="E74" s="32"/>
      <c r="F74" s="1"/>
      <c r="G74" s="3"/>
      <c r="H74" s="38"/>
    </row>
    <row r="75" spans="5:8" ht="15.6" x14ac:dyDescent="0.3">
      <c r="E75" s="32"/>
      <c r="F75" s="1"/>
      <c r="G75" s="3"/>
      <c r="H75" s="38"/>
    </row>
    <row r="76" spans="5:8" ht="15.6" x14ac:dyDescent="0.3">
      <c r="E76" s="32"/>
      <c r="F76" s="1"/>
      <c r="G76" s="3"/>
      <c r="H76" s="38"/>
    </row>
    <row r="77" spans="5:8" ht="15.6" x14ac:dyDescent="0.3">
      <c r="E77" s="32"/>
      <c r="F77" s="1"/>
      <c r="G77" s="3"/>
      <c r="H77" s="38"/>
    </row>
    <row r="78" spans="5:8" ht="15.6" x14ac:dyDescent="0.3">
      <c r="E78" s="32"/>
      <c r="F78" s="1"/>
      <c r="G78" s="3"/>
      <c r="H78" s="38"/>
    </row>
    <row r="79" spans="5:8" ht="15.6" x14ac:dyDescent="0.3">
      <c r="E79" s="32"/>
      <c r="F79" s="1"/>
      <c r="G79" s="3"/>
      <c r="H79" s="38"/>
    </row>
    <row r="80" spans="5:8" ht="15.6" x14ac:dyDescent="0.3">
      <c r="E80" s="32"/>
      <c r="F80" s="1"/>
      <c r="G80" s="3"/>
      <c r="H80" s="38"/>
    </row>
    <row r="81" spans="5:8" ht="15.6" x14ac:dyDescent="0.3">
      <c r="E81" s="32"/>
      <c r="F81" s="1"/>
      <c r="G81" s="3"/>
      <c r="H81" s="38"/>
    </row>
    <row r="82" spans="5:8" ht="15.6" x14ac:dyDescent="0.3">
      <c r="E82" s="32"/>
      <c r="F82" s="1"/>
      <c r="G82" s="3"/>
      <c r="H82" s="38"/>
    </row>
    <row r="83" spans="5:8" ht="15.6" x14ac:dyDescent="0.3">
      <c r="E83" s="32"/>
      <c r="F83" s="1"/>
      <c r="G83" s="3"/>
      <c r="H83" s="38"/>
    </row>
    <row r="84" spans="5:8" ht="15.6" x14ac:dyDescent="0.3">
      <c r="E84" s="32"/>
      <c r="F84" s="1"/>
      <c r="G84" s="3"/>
      <c r="H84" s="38"/>
    </row>
    <row r="85" spans="5:8" ht="15.6" x14ac:dyDescent="0.3">
      <c r="E85" s="32"/>
      <c r="F85" s="1"/>
      <c r="G85" s="3"/>
      <c r="H85" s="38"/>
    </row>
    <row r="86" spans="5:8" ht="15.6" x14ac:dyDescent="0.3">
      <c r="E86" s="32"/>
      <c r="F86" s="1"/>
      <c r="G86" s="3"/>
      <c r="H86" s="38"/>
    </row>
    <row r="87" spans="5:8" ht="15.6" x14ac:dyDescent="0.3">
      <c r="E87" s="32"/>
      <c r="F87" s="1"/>
      <c r="G87" s="3"/>
      <c r="H87" s="38"/>
    </row>
    <row r="88" spans="5:8" ht="15.6" x14ac:dyDescent="0.3">
      <c r="E88" s="32"/>
      <c r="F88" s="1"/>
      <c r="G88" s="3"/>
      <c r="H88" s="38"/>
    </row>
    <row r="89" spans="5:8" ht="15.6" x14ac:dyDescent="0.3">
      <c r="E89" s="32"/>
      <c r="F89" s="1"/>
      <c r="G89" s="3"/>
      <c r="H89" s="38"/>
    </row>
    <row r="90" spans="5:8" ht="15.6" x14ac:dyDescent="0.3">
      <c r="E90" s="32"/>
      <c r="F90" s="1"/>
      <c r="G90" s="3"/>
      <c r="H90" s="38"/>
    </row>
    <row r="91" spans="5:8" ht="15.6" x14ac:dyDescent="0.3">
      <c r="E91" s="32"/>
      <c r="F91" s="1"/>
      <c r="G91" s="3"/>
      <c r="H91" s="38"/>
    </row>
    <row r="92" spans="5:8" ht="15.6" x14ac:dyDescent="0.3">
      <c r="E92" s="32"/>
      <c r="F92" s="1"/>
      <c r="G92" s="3"/>
      <c r="H92" s="38"/>
    </row>
    <row r="93" spans="5:8" ht="15.6" x14ac:dyDescent="0.3">
      <c r="E93" s="32"/>
      <c r="F93" s="1"/>
      <c r="G93" s="3"/>
      <c r="H93" s="38"/>
    </row>
    <row r="94" spans="5:8" ht="15.6" x14ac:dyDescent="0.3">
      <c r="E94" s="32"/>
      <c r="F94" s="1"/>
      <c r="G94" s="3"/>
      <c r="H94" s="38"/>
    </row>
    <row r="95" spans="5:8" ht="15.6" x14ac:dyDescent="0.3">
      <c r="E95" s="32"/>
      <c r="F95" s="1"/>
      <c r="G95" s="3"/>
      <c r="H95" s="38"/>
    </row>
    <row r="96" spans="5:8" ht="15.6" x14ac:dyDescent="0.3">
      <c r="E96" s="32"/>
      <c r="F96" s="1"/>
      <c r="G96" s="3"/>
      <c r="H96" s="38"/>
    </row>
    <row r="97" spans="5:8" ht="15.6" x14ac:dyDescent="0.3">
      <c r="E97" s="32"/>
      <c r="F97" s="1"/>
      <c r="G97" s="3"/>
      <c r="H97" s="38"/>
    </row>
    <row r="98" spans="5:8" ht="15.6" x14ac:dyDescent="0.3">
      <c r="E98" s="32"/>
      <c r="F98" s="1"/>
      <c r="G98" s="3"/>
      <c r="H98" s="38"/>
    </row>
    <row r="99" spans="5:8" ht="15.6" x14ac:dyDescent="0.3">
      <c r="E99" s="32"/>
      <c r="F99" s="1"/>
      <c r="G99" s="3"/>
      <c r="H99" s="38"/>
    </row>
    <row r="100" spans="5:8" ht="15.6" x14ac:dyDescent="0.3">
      <c r="E100" s="32"/>
      <c r="F100" s="1"/>
      <c r="G100" s="3"/>
      <c r="H100" s="38"/>
    </row>
    <row r="101" spans="5:8" ht="15.6" x14ac:dyDescent="0.3">
      <c r="E101" s="32"/>
      <c r="F101" s="1"/>
      <c r="G101" s="3"/>
      <c r="H101" s="38"/>
    </row>
    <row r="102" spans="5:8" ht="15.6" x14ac:dyDescent="0.3">
      <c r="E102" s="32"/>
      <c r="F102" s="1"/>
      <c r="G102" s="3"/>
      <c r="H102" s="38"/>
    </row>
    <row r="103" spans="5:8" ht="15.6" x14ac:dyDescent="0.3">
      <c r="E103" s="32"/>
      <c r="F103" s="1"/>
      <c r="G103" s="3"/>
      <c r="H103" s="38"/>
    </row>
    <row r="104" spans="5:8" ht="15.6" x14ac:dyDescent="0.3">
      <c r="E104" s="32"/>
      <c r="F104" s="1"/>
      <c r="G104" s="3"/>
      <c r="H104" s="38"/>
    </row>
    <row r="105" spans="5:8" ht="15.6" x14ac:dyDescent="0.3">
      <c r="E105" s="32"/>
      <c r="F105" s="1"/>
      <c r="G105" s="3"/>
      <c r="H105" s="38"/>
    </row>
    <row r="106" spans="5:8" ht="15.6" x14ac:dyDescent="0.3">
      <c r="E106" s="32"/>
      <c r="F106" s="1"/>
      <c r="G106" s="3"/>
      <c r="H106" s="38"/>
    </row>
    <row r="107" spans="5:8" ht="15.6" x14ac:dyDescent="0.3">
      <c r="E107" s="32"/>
      <c r="F107" s="1"/>
      <c r="G107" s="3"/>
      <c r="H107" s="38"/>
    </row>
    <row r="108" spans="5:8" ht="15.6" x14ac:dyDescent="0.3">
      <c r="E108" s="32"/>
      <c r="F108" s="1"/>
      <c r="G108" s="3"/>
      <c r="H108" s="38"/>
    </row>
    <row r="109" spans="5:8" ht="15.6" x14ac:dyDescent="0.3">
      <c r="E109" s="32"/>
      <c r="F109" s="1"/>
      <c r="G109" s="3"/>
      <c r="H109" s="38"/>
    </row>
    <row r="110" spans="5:8" ht="15.6" x14ac:dyDescent="0.3">
      <c r="E110" s="32"/>
      <c r="F110" s="1"/>
      <c r="G110" s="3"/>
      <c r="H110" s="38"/>
    </row>
    <row r="111" spans="5:8" ht="15.6" x14ac:dyDescent="0.3">
      <c r="E111" s="32"/>
      <c r="F111" s="1"/>
      <c r="G111" s="3"/>
      <c r="H111" s="38"/>
    </row>
    <row r="112" spans="5:8" ht="15.6" x14ac:dyDescent="0.3">
      <c r="E112" s="32"/>
      <c r="F112" s="1"/>
      <c r="G112" s="3"/>
      <c r="H112" s="38"/>
    </row>
    <row r="113" spans="5:8" ht="15.6" x14ac:dyDescent="0.3">
      <c r="E113" s="32"/>
      <c r="F113" s="1"/>
      <c r="G113" s="3"/>
      <c r="H113" s="38"/>
    </row>
    <row r="114" spans="5:8" ht="15.6" x14ac:dyDescent="0.3">
      <c r="E114" s="32"/>
      <c r="F114" s="1"/>
      <c r="G114" s="3"/>
      <c r="H114" s="38"/>
    </row>
    <row r="115" spans="5:8" ht="15.6" x14ac:dyDescent="0.3">
      <c r="E115" s="32"/>
      <c r="F115" s="1"/>
      <c r="G115" s="3"/>
      <c r="H115" s="38"/>
    </row>
    <row r="116" spans="5:8" ht="15.6" x14ac:dyDescent="0.3">
      <c r="E116" s="32"/>
      <c r="F116" s="1"/>
      <c r="G116" s="3"/>
      <c r="H116" s="38"/>
    </row>
    <row r="117" spans="5:8" ht="15.6" x14ac:dyDescent="0.3">
      <c r="E117" s="32"/>
      <c r="F117" s="1"/>
      <c r="G117" s="3"/>
      <c r="H117" s="38"/>
    </row>
    <row r="118" spans="5:8" ht="15.6" x14ac:dyDescent="0.3">
      <c r="E118" s="32"/>
      <c r="F118" s="1"/>
      <c r="G118" s="3"/>
      <c r="H118" s="38"/>
    </row>
    <row r="119" spans="5:8" ht="15.6" x14ac:dyDescent="0.3">
      <c r="E119" s="32"/>
      <c r="F119" s="1"/>
      <c r="G119" s="3"/>
      <c r="H119" s="38"/>
    </row>
    <row r="120" spans="5:8" ht="15.6" x14ac:dyDescent="0.3">
      <c r="E120" s="32"/>
      <c r="F120" s="1"/>
      <c r="G120" s="3"/>
      <c r="H120" s="38"/>
    </row>
    <row r="121" spans="5:8" ht="15.6" x14ac:dyDescent="0.3">
      <c r="E121" s="32"/>
      <c r="F121" s="1"/>
      <c r="G121" s="3"/>
      <c r="H121" s="38"/>
    </row>
    <row r="122" spans="5:8" ht="15.6" x14ac:dyDescent="0.3">
      <c r="E122" s="32"/>
      <c r="F122" s="1"/>
      <c r="G122" s="3"/>
      <c r="H122" s="38"/>
    </row>
    <row r="123" spans="5:8" ht="15.6" x14ac:dyDescent="0.3">
      <c r="E123" s="32"/>
      <c r="F123" s="1"/>
      <c r="G123" s="3"/>
      <c r="H123" s="38"/>
    </row>
    <row r="124" spans="5:8" ht="15.6" x14ac:dyDescent="0.3">
      <c r="E124" s="32"/>
      <c r="F124" s="1"/>
      <c r="G124" s="3"/>
      <c r="H124" s="38"/>
    </row>
    <row r="125" spans="5:8" ht="15.6" x14ac:dyDescent="0.3">
      <c r="E125" s="32"/>
      <c r="F125" s="1"/>
      <c r="G125" s="3"/>
      <c r="H125" s="38"/>
    </row>
    <row r="126" spans="5:8" ht="15.6" x14ac:dyDescent="0.3">
      <c r="E126" s="32"/>
      <c r="F126" s="1"/>
      <c r="G126" s="3"/>
      <c r="H126" s="38"/>
    </row>
    <row r="127" spans="5:8" ht="15.6" x14ac:dyDescent="0.3">
      <c r="E127" s="32"/>
      <c r="F127" s="1"/>
      <c r="G127" s="3"/>
      <c r="H127" s="38"/>
    </row>
    <row r="128" spans="5:8" ht="15.6" x14ac:dyDescent="0.3">
      <c r="E128" s="32"/>
      <c r="F128" s="1"/>
      <c r="G128" s="3"/>
      <c r="H128" s="38"/>
    </row>
    <row r="129" spans="5:8" ht="15.6" x14ac:dyDescent="0.3">
      <c r="E129" s="32"/>
      <c r="F129" s="1"/>
      <c r="G129" s="3"/>
      <c r="H129" s="38"/>
    </row>
    <row r="130" spans="5:8" ht="15.6" x14ac:dyDescent="0.3">
      <c r="E130" s="32"/>
      <c r="F130" s="1"/>
      <c r="G130" s="3"/>
      <c r="H130" s="38"/>
    </row>
    <row r="131" spans="5:8" ht="15.6" x14ac:dyDescent="0.3">
      <c r="E131" s="32"/>
      <c r="F131" s="1"/>
      <c r="G131" s="3"/>
      <c r="H131" s="38"/>
    </row>
    <row r="132" spans="5:8" ht="15.6" x14ac:dyDescent="0.3">
      <c r="E132" s="32"/>
      <c r="F132" s="1"/>
      <c r="G132" s="3"/>
      <c r="H132" s="38"/>
    </row>
    <row r="133" spans="5:8" ht="15.6" x14ac:dyDescent="0.3">
      <c r="E133" s="32"/>
      <c r="F133" s="1"/>
      <c r="G133" s="3"/>
      <c r="H133" s="38"/>
    </row>
    <row r="134" spans="5:8" ht="15.6" x14ac:dyDescent="0.3">
      <c r="E134" s="32"/>
      <c r="F134" s="1"/>
      <c r="G134" s="3"/>
      <c r="H134" s="38"/>
    </row>
    <row r="135" spans="5:8" ht="15.6" x14ac:dyDescent="0.3">
      <c r="E135" s="32"/>
      <c r="F135" s="1"/>
      <c r="G135" s="3"/>
      <c r="H135" s="38"/>
    </row>
    <row r="136" spans="5:8" ht="15.6" x14ac:dyDescent="0.3">
      <c r="E136" s="32"/>
      <c r="F136" s="1"/>
      <c r="G136" s="3"/>
      <c r="H136" s="38"/>
    </row>
    <row r="137" spans="5:8" ht="15.6" x14ac:dyDescent="0.3">
      <c r="E137" s="32"/>
      <c r="F137" s="1"/>
      <c r="G137" s="3"/>
      <c r="H137" s="38"/>
    </row>
    <row r="138" spans="5:8" ht="15.6" x14ac:dyDescent="0.3">
      <c r="E138" s="32"/>
      <c r="F138" s="1"/>
      <c r="G138" s="3"/>
      <c r="H138" s="38"/>
    </row>
    <row r="139" spans="5:8" ht="15.6" x14ac:dyDescent="0.3">
      <c r="E139" s="32"/>
      <c r="F139" s="1"/>
      <c r="G139" s="3"/>
      <c r="H139" s="38"/>
    </row>
    <row r="140" spans="5:8" ht="15.6" x14ac:dyDescent="0.3">
      <c r="E140" s="32"/>
      <c r="F140" s="1"/>
      <c r="G140" s="3"/>
      <c r="H140" s="38"/>
    </row>
    <row r="141" spans="5:8" ht="15.6" x14ac:dyDescent="0.3">
      <c r="E141" s="32"/>
      <c r="F141" s="1"/>
      <c r="G141" s="3"/>
      <c r="H141" s="38"/>
    </row>
    <row r="142" spans="5:8" ht="15.6" x14ac:dyDescent="0.3">
      <c r="E142" s="32"/>
      <c r="F142" s="1"/>
      <c r="G142" s="3"/>
      <c r="H142" s="38"/>
    </row>
    <row r="143" spans="5:8" ht="15.6" x14ac:dyDescent="0.3">
      <c r="E143" s="32"/>
      <c r="F143" s="1"/>
      <c r="G143" s="3"/>
      <c r="H143" s="38"/>
    </row>
    <row r="144" spans="5:8" ht="15.6" x14ac:dyDescent="0.3">
      <c r="E144" s="32"/>
      <c r="F144" s="1"/>
      <c r="G144" s="3"/>
      <c r="H144" s="38"/>
    </row>
    <row r="145" spans="5:8" ht="15.6" x14ac:dyDescent="0.3">
      <c r="E145" s="32"/>
      <c r="F145" s="1"/>
      <c r="G145" s="3"/>
      <c r="H145" s="38"/>
    </row>
    <row r="146" spans="5:8" ht="15.6" x14ac:dyDescent="0.3">
      <c r="E146" s="32"/>
      <c r="F146" s="1"/>
      <c r="G146" s="3"/>
      <c r="H146" s="38"/>
    </row>
    <row r="147" spans="5:8" ht="15.6" x14ac:dyDescent="0.3">
      <c r="E147" s="32"/>
      <c r="F147" s="1"/>
      <c r="G147" s="3"/>
      <c r="H147" s="38"/>
    </row>
    <row r="148" spans="5:8" ht="15.6" x14ac:dyDescent="0.3">
      <c r="E148" s="32"/>
      <c r="F148" s="1"/>
      <c r="G148" s="3"/>
      <c r="H148" s="38"/>
    </row>
    <row r="149" spans="5:8" ht="15.6" x14ac:dyDescent="0.3">
      <c r="E149" s="32"/>
      <c r="F149" s="1"/>
      <c r="G149" s="3"/>
      <c r="H149" s="38"/>
    </row>
    <row r="150" spans="5:8" ht="15.6" x14ac:dyDescent="0.3">
      <c r="E150" s="32"/>
      <c r="F150" s="1"/>
      <c r="G150" s="3"/>
      <c r="H150" s="38"/>
    </row>
    <row r="151" spans="5:8" ht="15.6" x14ac:dyDescent="0.3">
      <c r="E151" s="32"/>
      <c r="F151" s="1"/>
      <c r="G151" s="3"/>
      <c r="H151" s="38"/>
    </row>
    <row r="152" spans="5:8" ht="15.6" x14ac:dyDescent="0.3">
      <c r="E152" s="32"/>
      <c r="F152" s="1"/>
      <c r="G152" s="3"/>
      <c r="H152" s="38"/>
    </row>
    <row r="153" spans="5:8" ht="15.6" x14ac:dyDescent="0.3">
      <c r="E153" s="32"/>
      <c r="F153" s="1"/>
      <c r="G153" s="3"/>
      <c r="H153" s="38"/>
    </row>
    <row r="154" spans="5:8" ht="15.6" x14ac:dyDescent="0.3">
      <c r="E154" s="32"/>
      <c r="F154" s="1"/>
      <c r="G154" s="3"/>
      <c r="H154" s="38"/>
    </row>
    <row r="155" spans="5:8" ht="15.6" x14ac:dyDescent="0.3">
      <c r="E155" s="32"/>
      <c r="F155" s="1"/>
      <c r="G155" s="3"/>
      <c r="H155" s="38"/>
    </row>
    <row r="156" spans="5:8" ht="15.6" x14ac:dyDescent="0.3">
      <c r="E156" s="32"/>
      <c r="F156" s="1"/>
      <c r="G156" s="3"/>
      <c r="H156" s="38"/>
    </row>
    <row r="157" spans="5:8" ht="15.6" x14ac:dyDescent="0.3">
      <c r="E157" s="32"/>
      <c r="F157" s="1"/>
      <c r="G157" s="3"/>
      <c r="H157" s="38"/>
    </row>
    <row r="158" spans="5:8" ht="15.6" x14ac:dyDescent="0.3">
      <c r="E158" s="32"/>
      <c r="F158" s="1"/>
      <c r="G158" s="3"/>
      <c r="H158" s="38"/>
    </row>
    <row r="159" spans="5:8" ht="15.6" x14ac:dyDescent="0.3">
      <c r="E159" s="32"/>
      <c r="F159" s="1"/>
      <c r="G159" s="3"/>
      <c r="H159" s="38"/>
    </row>
    <row r="160" spans="5:8" ht="15.6" x14ac:dyDescent="0.3">
      <c r="E160" s="32"/>
      <c r="F160" s="1"/>
      <c r="G160" s="3"/>
      <c r="H160" s="38"/>
    </row>
    <row r="161" spans="5:8" ht="15.6" x14ac:dyDescent="0.3">
      <c r="E161" s="32"/>
      <c r="F161" s="1"/>
      <c r="G161" s="3"/>
      <c r="H161" s="38"/>
    </row>
    <row r="162" spans="5:8" ht="15.6" x14ac:dyDescent="0.3">
      <c r="E162" s="32"/>
      <c r="F162" s="1"/>
      <c r="G162" s="3"/>
      <c r="H162" s="38"/>
    </row>
    <row r="163" spans="5:8" ht="15.6" x14ac:dyDescent="0.3">
      <c r="E163" s="32"/>
      <c r="F163" s="1"/>
      <c r="G163" s="3"/>
      <c r="H163" s="38"/>
    </row>
    <row r="164" spans="5:8" ht="15.6" x14ac:dyDescent="0.3">
      <c r="E164" s="32"/>
      <c r="F164" s="1"/>
      <c r="G164" s="3"/>
      <c r="H164" s="38"/>
    </row>
    <row r="165" spans="5:8" ht="15.6" x14ac:dyDescent="0.3">
      <c r="E165" s="32"/>
      <c r="F165" s="1"/>
      <c r="G165" s="3"/>
      <c r="H165" s="38"/>
    </row>
    <row r="166" spans="5:8" ht="15.6" x14ac:dyDescent="0.3">
      <c r="E166" s="32"/>
      <c r="F166" s="1"/>
      <c r="G166" s="3"/>
      <c r="H166" s="38"/>
    </row>
    <row r="167" spans="5:8" ht="15.6" x14ac:dyDescent="0.3">
      <c r="E167" s="32"/>
      <c r="F167" s="1"/>
      <c r="G167" s="3"/>
      <c r="H167" s="38"/>
    </row>
    <row r="168" spans="5:8" ht="15.6" x14ac:dyDescent="0.3">
      <c r="E168" s="32"/>
      <c r="F168" s="1"/>
      <c r="G168" s="3"/>
      <c r="H168" s="38"/>
    </row>
    <row r="169" spans="5:8" ht="15.6" x14ac:dyDescent="0.3">
      <c r="E169" s="32"/>
      <c r="F169" s="1"/>
      <c r="G169" s="3"/>
      <c r="H169" s="38"/>
    </row>
    <row r="170" spans="5:8" ht="15.6" x14ac:dyDescent="0.3">
      <c r="E170" s="32"/>
      <c r="F170" s="1"/>
      <c r="G170" s="3"/>
      <c r="H170" s="38"/>
    </row>
    <row r="171" spans="5:8" ht="15.6" x14ac:dyDescent="0.3">
      <c r="E171" s="32"/>
      <c r="F171" s="1"/>
      <c r="G171" s="3"/>
      <c r="H171" s="38"/>
    </row>
    <row r="172" spans="5:8" ht="15.6" x14ac:dyDescent="0.3">
      <c r="E172" s="32"/>
      <c r="F172" s="1"/>
      <c r="G172" s="3"/>
      <c r="H172" s="38"/>
    </row>
    <row r="173" spans="5:8" ht="15.6" x14ac:dyDescent="0.3">
      <c r="E173" s="32"/>
      <c r="F173" s="1"/>
      <c r="G173" s="3"/>
      <c r="H173" s="38"/>
    </row>
    <row r="174" spans="5:8" ht="15.6" x14ac:dyDescent="0.3">
      <c r="E174" s="32"/>
      <c r="F174" s="1"/>
      <c r="G174" s="3"/>
      <c r="H174" s="38"/>
    </row>
    <row r="175" spans="5:8" ht="15.6" x14ac:dyDescent="0.3">
      <c r="E175" s="32"/>
      <c r="F175" s="1"/>
      <c r="G175" s="3"/>
      <c r="H175" s="38"/>
    </row>
    <row r="176" spans="5:8" ht="15.6" x14ac:dyDescent="0.3">
      <c r="E176" s="32"/>
      <c r="F176" s="1"/>
      <c r="G176" s="3"/>
      <c r="H176" s="38"/>
    </row>
    <row r="177" spans="5:8" ht="15.6" x14ac:dyDescent="0.3">
      <c r="E177" s="32"/>
      <c r="F177" s="1"/>
      <c r="G177" s="3"/>
      <c r="H177" s="38"/>
    </row>
    <row r="178" spans="5:8" ht="15.6" x14ac:dyDescent="0.3">
      <c r="E178" s="32"/>
      <c r="F178" s="1"/>
      <c r="G178" s="3"/>
      <c r="H178" s="38"/>
    </row>
    <row r="179" spans="5:8" ht="15.6" x14ac:dyDescent="0.3">
      <c r="E179" s="32"/>
      <c r="F179" s="1"/>
      <c r="G179" s="3"/>
      <c r="H179" s="38"/>
    </row>
    <row r="180" spans="5:8" ht="15.6" x14ac:dyDescent="0.3">
      <c r="E180" s="32"/>
      <c r="F180" s="1"/>
      <c r="G180" s="3"/>
      <c r="H180" s="38"/>
    </row>
    <row r="181" spans="5:8" ht="15.6" x14ac:dyDescent="0.3">
      <c r="E181" s="32"/>
      <c r="F181" s="1"/>
      <c r="G181" s="3"/>
      <c r="H181" s="38"/>
    </row>
    <row r="182" spans="5:8" ht="15.6" x14ac:dyDescent="0.3">
      <c r="E182" s="32"/>
      <c r="F182" s="1"/>
      <c r="G182" s="3"/>
      <c r="H182" s="38"/>
    </row>
    <row r="183" spans="5:8" ht="15.6" x14ac:dyDescent="0.3">
      <c r="E183" s="32"/>
      <c r="F183" s="1"/>
      <c r="G183" s="3"/>
      <c r="H183" s="38"/>
    </row>
    <row r="184" spans="5:8" ht="15.6" x14ac:dyDescent="0.3">
      <c r="E184" s="32"/>
      <c r="F184" s="1"/>
      <c r="G184" s="3"/>
      <c r="H184" s="38"/>
    </row>
    <row r="185" spans="5:8" ht="15.6" x14ac:dyDescent="0.3">
      <c r="E185" s="32"/>
      <c r="F185" s="1"/>
      <c r="G185" s="3"/>
      <c r="H185" s="38"/>
    </row>
    <row r="186" spans="5:8" ht="15.6" x14ac:dyDescent="0.3">
      <c r="E186" s="32"/>
      <c r="F186" s="1"/>
      <c r="G186" s="3"/>
      <c r="H186" s="38"/>
    </row>
    <row r="187" spans="5:8" ht="15.6" x14ac:dyDescent="0.3">
      <c r="E187" s="32"/>
      <c r="F187" s="1"/>
      <c r="G187" s="3"/>
      <c r="H187" s="38"/>
    </row>
    <row r="188" spans="5:8" ht="15.6" x14ac:dyDescent="0.3">
      <c r="E188" s="32"/>
      <c r="F188" s="1"/>
      <c r="G188" s="3"/>
      <c r="H188" s="38"/>
    </row>
    <row r="189" spans="5:8" ht="15.6" x14ac:dyDescent="0.3">
      <c r="E189" s="32"/>
      <c r="F189" s="1"/>
      <c r="G189" s="3"/>
      <c r="H189" s="38"/>
    </row>
    <row r="190" spans="5:8" ht="15.6" x14ac:dyDescent="0.3">
      <c r="E190" s="32"/>
      <c r="F190" s="1"/>
      <c r="G190" s="3"/>
      <c r="H190" s="38"/>
    </row>
    <row r="191" spans="5:8" ht="15.6" x14ac:dyDescent="0.3">
      <c r="E191" s="32"/>
      <c r="F191" s="1"/>
      <c r="G191" s="3"/>
      <c r="H191" s="38"/>
    </row>
    <row r="192" spans="5:8" ht="15.6" x14ac:dyDescent="0.3">
      <c r="E192" s="32"/>
      <c r="F192" s="1"/>
      <c r="G192" s="3"/>
      <c r="H192" s="38"/>
    </row>
    <row r="193" spans="5:8" ht="15.6" x14ac:dyDescent="0.3">
      <c r="E193" s="32"/>
      <c r="F193" s="1"/>
      <c r="G193" s="3"/>
      <c r="H193" s="38"/>
    </row>
    <row r="194" spans="5:8" ht="15.6" x14ac:dyDescent="0.3">
      <c r="E194" s="32"/>
      <c r="F194" s="1"/>
      <c r="G194" s="3"/>
      <c r="H194" s="38"/>
    </row>
    <row r="195" spans="5:8" ht="15.6" x14ac:dyDescent="0.3">
      <c r="E195" s="32"/>
      <c r="F195" s="1"/>
      <c r="G195" s="3"/>
      <c r="H195" s="38"/>
    </row>
    <row r="196" spans="5:8" ht="15.6" x14ac:dyDescent="0.3">
      <c r="E196" s="32"/>
      <c r="F196" s="1"/>
      <c r="G196" s="3"/>
      <c r="H196" s="38"/>
    </row>
    <row r="197" spans="5:8" ht="15.6" x14ac:dyDescent="0.3">
      <c r="E197" s="32"/>
      <c r="F197" s="1"/>
      <c r="G197" s="3"/>
      <c r="H197" s="38"/>
    </row>
    <row r="198" spans="5:8" ht="15.6" x14ac:dyDescent="0.3">
      <c r="E198" s="32"/>
      <c r="F198" s="1"/>
      <c r="G198" s="3"/>
      <c r="H198" s="38"/>
    </row>
    <row r="199" spans="5:8" ht="15.6" x14ac:dyDescent="0.3">
      <c r="E199" s="32"/>
      <c r="F199" s="1"/>
      <c r="G199" s="3"/>
      <c r="H199" s="38"/>
    </row>
    <row r="200" spans="5:8" ht="15.6" x14ac:dyDescent="0.3">
      <c r="E200" s="32"/>
      <c r="F200" s="1"/>
      <c r="G200" s="3"/>
      <c r="H200" s="38"/>
    </row>
    <row r="201" spans="5:8" ht="15.6" x14ac:dyDescent="0.3">
      <c r="E201" s="32"/>
      <c r="F201" s="1"/>
      <c r="G201" s="3"/>
      <c r="H201" s="38"/>
    </row>
    <row r="202" spans="5:8" ht="15.6" x14ac:dyDescent="0.3">
      <c r="E202" s="32"/>
      <c r="F202" s="1"/>
      <c r="G202" s="3"/>
      <c r="H202" s="38"/>
    </row>
    <row r="203" spans="5:8" ht="15.6" x14ac:dyDescent="0.3">
      <c r="E203" s="32"/>
      <c r="F203" s="1"/>
      <c r="G203" s="3"/>
      <c r="H203" s="38"/>
    </row>
    <row r="204" spans="5:8" ht="15.6" x14ac:dyDescent="0.3">
      <c r="E204" s="32"/>
      <c r="F204" s="1"/>
      <c r="G204" s="3"/>
      <c r="H204" s="38"/>
    </row>
    <row r="205" spans="5:8" ht="15.6" x14ac:dyDescent="0.3">
      <c r="E205" s="32"/>
      <c r="F205" s="1"/>
      <c r="G205" s="3"/>
      <c r="H205" s="38"/>
    </row>
    <row r="206" spans="5:8" ht="15.6" x14ac:dyDescent="0.3">
      <c r="E206" s="32"/>
      <c r="F206" s="1"/>
      <c r="G206" s="3"/>
      <c r="H206" s="38"/>
    </row>
    <row r="207" spans="5:8" ht="15.6" x14ac:dyDescent="0.3">
      <c r="E207" s="32"/>
      <c r="F207" s="1"/>
      <c r="G207" s="3"/>
      <c r="H207" s="38"/>
    </row>
    <row r="208" spans="5:8" ht="15.6" x14ac:dyDescent="0.3">
      <c r="E208" s="32"/>
      <c r="F208" s="1"/>
      <c r="G208" s="3"/>
      <c r="H208" s="38"/>
    </row>
    <row r="209" spans="5:8" ht="15.6" x14ac:dyDescent="0.3">
      <c r="E209" s="32"/>
      <c r="F209" s="1"/>
      <c r="G209" s="3"/>
      <c r="H209" s="38"/>
    </row>
    <row r="210" spans="5:8" ht="15.6" x14ac:dyDescent="0.3">
      <c r="E210" s="32"/>
      <c r="F210" s="1"/>
      <c r="G210" s="3"/>
      <c r="H210" s="38"/>
    </row>
    <row r="211" spans="5:8" ht="15.6" x14ac:dyDescent="0.3">
      <c r="E211" s="32"/>
      <c r="F211" s="1"/>
      <c r="G211" s="3"/>
      <c r="H211" s="38"/>
    </row>
    <row r="212" spans="5:8" ht="15.6" x14ac:dyDescent="0.3">
      <c r="E212" s="32"/>
      <c r="F212" s="1"/>
      <c r="G212" s="3"/>
      <c r="H212" s="38"/>
    </row>
    <row r="213" spans="5:8" ht="15.6" x14ac:dyDescent="0.3">
      <c r="E213" s="32"/>
      <c r="F213" s="1"/>
      <c r="G213" s="3"/>
      <c r="H213" s="38"/>
    </row>
    <row r="214" spans="5:8" ht="15.6" x14ac:dyDescent="0.3">
      <c r="E214" s="32"/>
      <c r="F214" s="1"/>
      <c r="G214" s="3"/>
      <c r="H214" s="38"/>
    </row>
    <row r="215" spans="5:8" ht="15.6" x14ac:dyDescent="0.3">
      <c r="E215" s="32"/>
      <c r="F215" s="1"/>
      <c r="G215" s="3"/>
      <c r="H215" s="38"/>
    </row>
    <row r="216" spans="5:8" ht="15.6" x14ac:dyDescent="0.3">
      <c r="E216" s="32"/>
      <c r="F216" s="1"/>
      <c r="G216" s="3"/>
      <c r="H216" s="38"/>
    </row>
    <row r="217" spans="5:8" ht="15.6" x14ac:dyDescent="0.3">
      <c r="E217" s="32"/>
      <c r="F217" s="1"/>
      <c r="G217" s="3"/>
      <c r="H217" s="38"/>
    </row>
    <row r="218" spans="5:8" ht="15.6" x14ac:dyDescent="0.3">
      <c r="E218" s="32"/>
      <c r="F218" s="1"/>
      <c r="G218" s="3"/>
      <c r="H218" s="38"/>
    </row>
    <row r="219" spans="5:8" ht="15.6" x14ac:dyDescent="0.3">
      <c r="E219" s="32"/>
      <c r="F219" s="1"/>
      <c r="G219" s="3"/>
      <c r="H219" s="38"/>
    </row>
    <row r="220" spans="5:8" ht="15.6" x14ac:dyDescent="0.3">
      <c r="E220" s="32"/>
      <c r="F220" s="1"/>
      <c r="G220" s="3"/>
      <c r="H220" s="38"/>
    </row>
    <row r="221" spans="5:8" ht="15.6" x14ac:dyDescent="0.3">
      <c r="E221" s="32"/>
      <c r="F221" s="1"/>
      <c r="G221" s="3"/>
      <c r="H221" s="38"/>
    </row>
    <row r="222" spans="5:8" ht="15.6" x14ac:dyDescent="0.3">
      <c r="E222" s="32"/>
      <c r="F222" s="1"/>
      <c r="G222" s="3"/>
      <c r="H222" s="38"/>
    </row>
    <row r="223" spans="5:8" ht="15.6" x14ac:dyDescent="0.3">
      <c r="E223" s="32"/>
      <c r="F223" s="1"/>
      <c r="G223" s="3"/>
      <c r="H223" s="38"/>
    </row>
    <row r="224" spans="5:8" ht="15.6" x14ac:dyDescent="0.3">
      <c r="E224" s="32"/>
      <c r="F224" s="1"/>
      <c r="G224" s="3"/>
      <c r="H224" s="38"/>
    </row>
    <row r="225" spans="5:8" ht="15.6" x14ac:dyDescent="0.3">
      <c r="E225" s="32"/>
      <c r="F225" s="1"/>
      <c r="G225" s="3"/>
      <c r="H225" s="38"/>
    </row>
    <row r="226" spans="5:8" ht="15.6" x14ac:dyDescent="0.3">
      <c r="E226" s="32"/>
      <c r="F226" s="1"/>
      <c r="G226" s="3"/>
      <c r="H226" s="38"/>
    </row>
    <row r="227" spans="5:8" ht="15.6" x14ac:dyDescent="0.3">
      <c r="E227" s="32"/>
      <c r="F227" s="1"/>
      <c r="G227" s="3"/>
      <c r="H227" s="38"/>
    </row>
    <row r="228" spans="5:8" ht="15.6" x14ac:dyDescent="0.3">
      <c r="E228" s="32"/>
      <c r="F228" s="1"/>
      <c r="G228" s="3"/>
      <c r="H228" s="38"/>
    </row>
    <row r="229" spans="5:8" ht="15.6" x14ac:dyDescent="0.3">
      <c r="E229" s="32"/>
      <c r="F229" s="1"/>
      <c r="G229" s="3"/>
      <c r="H229" s="38"/>
    </row>
    <row r="230" spans="5:8" ht="15.6" x14ac:dyDescent="0.3">
      <c r="E230" s="32"/>
      <c r="F230" s="1"/>
      <c r="G230" s="3"/>
      <c r="H230" s="38"/>
    </row>
    <row r="231" spans="5:8" ht="15.6" x14ac:dyDescent="0.3">
      <c r="E231" s="32"/>
      <c r="F231" s="1"/>
      <c r="G231" s="3"/>
      <c r="H231" s="38"/>
    </row>
    <row r="232" spans="5:8" ht="15.6" x14ac:dyDescent="0.3">
      <c r="E232" s="32"/>
      <c r="F232" s="1"/>
      <c r="G232" s="3"/>
      <c r="H232" s="38"/>
    </row>
    <row r="233" spans="5:8" ht="15.6" x14ac:dyDescent="0.3">
      <c r="E233" s="32"/>
      <c r="F233" s="1"/>
      <c r="G233" s="3"/>
      <c r="H233" s="38"/>
    </row>
    <row r="234" spans="5:8" ht="15.6" x14ac:dyDescent="0.3">
      <c r="E234" s="32"/>
      <c r="F234" s="1"/>
      <c r="G234" s="3"/>
      <c r="H234" s="38"/>
    </row>
    <row r="235" spans="5:8" ht="15.6" x14ac:dyDescent="0.3">
      <c r="E235" s="32"/>
      <c r="F235" s="1"/>
      <c r="G235" s="3"/>
      <c r="H235" s="38"/>
    </row>
    <row r="236" spans="5:8" ht="15.6" x14ac:dyDescent="0.3">
      <c r="E236" s="32"/>
      <c r="F236" s="1"/>
      <c r="G236" s="3"/>
      <c r="H236" s="38"/>
    </row>
    <row r="237" spans="5:8" ht="15.6" x14ac:dyDescent="0.3">
      <c r="E237" s="32"/>
      <c r="F237" s="1"/>
      <c r="G237" s="3"/>
      <c r="H237" s="38"/>
    </row>
    <row r="238" spans="5:8" ht="15.6" x14ac:dyDescent="0.3">
      <c r="E238" s="32"/>
      <c r="F238" s="1"/>
      <c r="G238" s="3"/>
      <c r="H238" s="38"/>
    </row>
    <row r="239" spans="5:8" ht="15.6" x14ac:dyDescent="0.3">
      <c r="E239" s="32"/>
      <c r="F239" s="1"/>
      <c r="G239" s="3"/>
      <c r="H239" s="38"/>
    </row>
    <row r="240" spans="5:8" ht="15.6" x14ac:dyDescent="0.3">
      <c r="E240" s="32"/>
      <c r="F240" s="1"/>
      <c r="G240" s="3"/>
      <c r="H240" s="38"/>
    </row>
    <row r="241" spans="5:8" ht="15.6" x14ac:dyDescent="0.3">
      <c r="E241" s="32"/>
      <c r="F241" s="1"/>
      <c r="G241" s="3"/>
      <c r="H241" s="38"/>
    </row>
    <row r="242" spans="5:8" ht="15.6" x14ac:dyDescent="0.3">
      <c r="E242" s="32"/>
      <c r="F242" s="1"/>
      <c r="G242" s="3"/>
      <c r="H242" s="38"/>
    </row>
    <row r="243" spans="5:8" ht="15.6" x14ac:dyDescent="0.3">
      <c r="E243" s="32"/>
      <c r="F243" s="1"/>
      <c r="G243" s="3"/>
      <c r="H243" s="38"/>
    </row>
    <row r="244" spans="5:8" ht="15.6" x14ac:dyDescent="0.3">
      <c r="E244" s="32"/>
      <c r="F244" s="1"/>
      <c r="G244" s="3"/>
      <c r="H244" s="38"/>
    </row>
    <row r="245" spans="5:8" ht="15.6" x14ac:dyDescent="0.3">
      <c r="E245" s="32"/>
      <c r="F245" s="1"/>
      <c r="G245" s="3"/>
      <c r="H245" s="38"/>
    </row>
    <row r="246" spans="5:8" ht="15.6" x14ac:dyDescent="0.3">
      <c r="E246" s="32"/>
      <c r="F246" s="1"/>
      <c r="G246" s="3"/>
      <c r="H246" s="38"/>
    </row>
    <row r="247" spans="5:8" ht="15.6" x14ac:dyDescent="0.3">
      <c r="E247" s="32"/>
      <c r="F247" s="1"/>
      <c r="G247" s="3"/>
      <c r="H247" s="38"/>
    </row>
    <row r="248" spans="5:8" ht="15.6" x14ac:dyDescent="0.3">
      <c r="E248" s="32"/>
      <c r="F248" s="1"/>
      <c r="G248" s="3"/>
      <c r="H248" s="38"/>
    </row>
    <row r="249" spans="5:8" ht="15.6" x14ac:dyDescent="0.3">
      <c r="E249" s="32"/>
      <c r="F249" s="1"/>
      <c r="G249" s="3"/>
      <c r="H249" s="38"/>
    </row>
    <row r="250" spans="5:8" ht="15.6" x14ac:dyDescent="0.3">
      <c r="E250" s="32"/>
      <c r="F250" s="1"/>
      <c r="G250" s="3"/>
      <c r="H250" s="38"/>
    </row>
    <row r="251" spans="5:8" ht="15.6" x14ac:dyDescent="0.3">
      <c r="E251" s="32"/>
      <c r="F251" s="1"/>
      <c r="G251" s="3"/>
      <c r="H251" s="38"/>
    </row>
    <row r="252" spans="5:8" ht="15.6" x14ac:dyDescent="0.3">
      <c r="E252" s="32"/>
      <c r="F252" s="1"/>
      <c r="G252" s="3"/>
      <c r="H252" s="38"/>
    </row>
    <row r="253" spans="5:8" ht="15.6" x14ac:dyDescent="0.3">
      <c r="E253" s="32"/>
      <c r="F253" s="1"/>
      <c r="G253" s="3"/>
      <c r="H253" s="38"/>
    </row>
    <row r="254" spans="5:8" ht="15.6" x14ac:dyDescent="0.3">
      <c r="E254" s="32"/>
      <c r="F254" s="1"/>
      <c r="G254" s="3"/>
      <c r="H254" s="38"/>
    </row>
    <row r="255" spans="5:8" ht="15.6" x14ac:dyDescent="0.3">
      <c r="E255" s="32"/>
      <c r="F255" s="1"/>
      <c r="G255" s="3"/>
      <c r="H255" s="38"/>
    </row>
    <row r="256" spans="5:8" ht="15.6" x14ac:dyDescent="0.3">
      <c r="E256" s="32"/>
      <c r="F256" s="1"/>
      <c r="G256" s="3"/>
      <c r="H256" s="38"/>
    </row>
    <row r="257" spans="5:8" ht="15.6" x14ac:dyDescent="0.3">
      <c r="E257" s="32"/>
      <c r="F257" s="1"/>
      <c r="G257" s="3"/>
      <c r="H257" s="38"/>
    </row>
    <row r="258" spans="5:8" ht="15.6" x14ac:dyDescent="0.3">
      <c r="E258" s="32"/>
      <c r="F258" s="1"/>
      <c r="G258" s="3"/>
      <c r="H258" s="38"/>
    </row>
    <row r="259" spans="5:8" ht="15.6" x14ac:dyDescent="0.3">
      <c r="E259" s="32"/>
      <c r="F259" s="1"/>
      <c r="G259" s="3"/>
      <c r="H259" s="38"/>
    </row>
    <row r="260" spans="5:8" ht="15.6" x14ac:dyDescent="0.3">
      <c r="E260" s="32"/>
      <c r="F260" s="1"/>
      <c r="G260" s="3"/>
      <c r="H260" s="38"/>
    </row>
    <row r="261" spans="5:8" ht="15.6" x14ac:dyDescent="0.3">
      <c r="E261" s="32"/>
      <c r="F261" s="1"/>
      <c r="G261" s="3"/>
      <c r="H261" s="38"/>
    </row>
    <row r="262" spans="5:8" ht="15.6" x14ac:dyDescent="0.3">
      <c r="E262" s="32"/>
      <c r="F262" s="1"/>
      <c r="G262" s="3"/>
      <c r="H262" s="38"/>
    </row>
    <row r="263" spans="5:8" ht="15.6" x14ac:dyDescent="0.3">
      <c r="E263" s="32"/>
      <c r="F263" s="1"/>
      <c r="G263" s="3"/>
      <c r="H263" s="38"/>
    </row>
    <row r="264" spans="5:8" ht="15.6" x14ac:dyDescent="0.3">
      <c r="E264" s="32"/>
      <c r="F264" s="1"/>
      <c r="G264" s="3"/>
      <c r="H264" s="38"/>
    </row>
    <row r="265" spans="5:8" ht="15.6" x14ac:dyDescent="0.3">
      <c r="E265" s="32"/>
      <c r="F265" s="1"/>
      <c r="G265" s="3"/>
      <c r="H265" s="38"/>
    </row>
    <row r="266" spans="5:8" ht="15.6" x14ac:dyDescent="0.3">
      <c r="E266" s="32"/>
      <c r="F266" s="1"/>
      <c r="G266" s="3"/>
      <c r="H266" s="38"/>
    </row>
    <row r="267" spans="5:8" ht="15.6" x14ac:dyDescent="0.3">
      <c r="E267" s="32"/>
      <c r="F267" s="1"/>
      <c r="G267" s="3"/>
      <c r="H267" s="38"/>
    </row>
    <row r="268" spans="5:8" ht="15.6" x14ac:dyDescent="0.3">
      <c r="E268" s="32"/>
      <c r="F268" s="1"/>
      <c r="G268" s="3"/>
      <c r="H268" s="38"/>
    </row>
    <row r="269" spans="5:8" ht="15.6" x14ac:dyDescent="0.3">
      <c r="E269" s="32"/>
      <c r="F269" s="1"/>
      <c r="G269" s="3"/>
      <c r="H269" s="38"/>
    </row>
    <row r="270" spans="5:8" ht="15.6" x14ac:dyDescent="0.3">
      <c r="E270" s="32"/>
      <c r="F270" s="1"/>
      <c r="G270" s="3"/>
      <c r="H270" s="38"/>
    </row>
    <row r="271" spans="5:8" ht="15.6" x14ac:dyDescent="0.3">
      <c r="E271" s="32"/>
      <c r="F271" s="1"/>
      <c r="G271" s="3"/>
      <c r="H271" s="38"/>
    </row>
    <row r="272" spans="5:8" ht="15.6" x14ac:dyDescent="0.3">
      <c r="E272" s="32"/>
      <c r="F272" s="1"/>
      <c r="G272" s="3"/>
      <c r="H272" s="38"/>
    </row>
    <row r="273" spans="5:8" ht="15.6" x14ac:dyDescent="0.3">
      <c r="E273" s="32"/>
      <c r="F273" s="1"/>
      <c r="G273" s="3"/>
      <c r="H273" s="38"/>
    </row>
    <row r="274" spans="5:8" ht="15.6" x14ac:dyDescent="0.3">
      <c r="E274" s="32"/>
      <c r="F274" s="1"/>
      <c r="G274" s="3"/>
      <c r="H274" s="38"/>
    </row>
    <row r="275" spans="5:8" ht="15.6" x14ac:dyDescent="0.3">
      <c r="E275" s="32"/>
      <c r="F275" s="1"/>
      <c r="G275" s="3"/>
      <c r="H275" s="38"/>
    </row>
    <row r="276" spans="5:8" ht="15.6" x14ac:dyDescent="0.3">
      <c r="E276" s="32"/>
      <c r="F276" s="1"/>
      <c r="G276" s="3"/>
      <c r="H276" s="38"/>
    </row>
    <row r="277" spans="5:8" ht="15.6" x14ac:dyDescent="0.3">
      <c r="E277" s="32"/>
      <c r="F277" s="1"/>
      <c r="G277" s="3"/>
      <c r="H277" s="38"/>
    </row>
    <row r="278" spans="5:8" ht="15.6" x14ac:dyDescent="0.3">
      <c r="E278" s="32"/>
      <c r="F278" s="1"/>
      <c r="G278" s="3"/>
      <c r="H278" s="38"/>
    </row>
    <row r="279" spans="5:8" ht="15.6" x14ac:dyDescent="0.3">
      <c r="E279" s="32"/>
      <c r="F279" s="1"/>
      <c r="G279" s="3"/>
      <c r="H279" s="38"/>
    </row>
    <row r="280" spans="5:8" ht="15.6" x14ac:dyDescent="0.3">
      <c r="E280" s="32"/>
      <c r="F280" s="1"/>
      <c r="G280" s="3"/>
      <c r="H280" s="38"/>
    </row>
    <row r="281" spans="5:8" ht="15.6" x14ac:dyDescent="0.3">
      <c r="E281" s="32"/>
      <c r="F281" s="1"/>
      <c r="G281" s="3"/>
      <c r="H281" s="38"/>
    </row>
    <row r="282" spans="5:8" ht="15.6" x14ac:dyDescent="0.3">
      <c r="E282" s="32"/>
      <c r="F282" s="1"/>
      <c r="G282" s="3"/>
      <c r="H282" s="38"/>
    </row>
    <row r="283" spans="5:8" ht="15.6" x14ac:dyDescent="0.3">
      <c r="E283" s="32"/>
      <c r="F283" s="1"/>
      <c r="G283" s="3"/>
      <c r="H283" s="38"/>
    </row>
    <row r="284" spans="5:8" ht="15.6" x14ac:dyDescent="0.3">
      <c r="E284" s="32"/>
      <c r="F284" s="1"/>
      <c r="G284" s="3"/>
      <c r="H284" s="38"/>
    </row>
    <row r="285" spans="5:8" ht="15.6" x14ac:dyDescent="0.3">
      <c r="E285" s="32"/>
      <c r="F285" s="1"/>
      <c r="G285" s="3"/>
      <c r="H285" s="38"/>
    </row>
    <row r="286" spans="5:8" ht="15.6" x14ac:dyDescent="0.3">
      <c r="E286" s="32"/>
      <c r="F286" s="1"/>
      <c r="G286" s="3"/>
      <c r="H286" s="38"/>
    </row>
    <row r="287" spans="5:8" ht="15.6" x14ac:dyDescent="0.3">
      <c r="E287" s="32"/>
      <c r="F287" s="1"/>
      <c r="G287" s="3"/>
      <c r="H287" s="38"/>
    </row>
    <row r="288" spans="5:8" ht="15.6" x14ac:dyDescent="0.3">
      <c r="E288" s="32"/>
      <c r="F288" s="1"/>
      <c r="G288" s="3"/>
      <c r="H288" s="38"/>
    </row>
    <row r="289" spans="5:8" ht="15.6" x14ac:dyDescent="0.3">
      <c r="E289" s="32"/>
      <c r="F289" s="1"/>
      <c r="G289" s="3"/>
      <c r="H289" s="38"/>
    </row>
    <row r="290" spans="5:8" ht="15.6" x14ac:dyDescent="0.3">
      <c r="E290" s="32"/>
      <c r="F290" s="1"/>
      <c r="G290" s="3"/>
      <c r="H290" s="38"/>
    </row>
    <row r="291" spans="5:8" ht="15.6" x14ac:dyDescent="0.3">
      <c r="E291" s="32"/>
      <c r="F291" s="1"/>
      <c r="G291" s="3"/>
      <c r="H291" s="38"/>
    </row>
    <row r="292" spans="5:8" ht="15.6" x14ac:dyDescent="0.3">
      <c r="E292" s="32"/>
      <c r="F292" s="1"/>
      <c r="G292" s="3"/>
      <c r="H292" s="38"/>
    </row>
    <row r="293" spans="5:8" ht="15.6" x14ac:dyDescent="0.3">
      <c r="E293" s="32"/>
      <c r="F293" s="1"/>
      <c r="G293" s="3"/>
      <c r="H293" s="38"/>
    </row>
    <row r="294" spans="5:8" ht="15.6" x14ac:dyDescent="0.3">
      <c r="E294" s="32"/>
      <c r="F294" s="1"/>
      <c r="G294" s="3"/>
      <c r="H294" s="38"/>
    </row>
    <row r="295" spans="5:8" ht="15.6" x14ac:dyDescent="0.3">
      <c r="E295" s="32"/>
      <c r="F295" s="1"/>
      <c r="G295" s="3"/>
      <c r="H295" s="38"/>
    </row>
    <row r="296" spans="5:8" ht="15.6" x14ac:dyDescent="0.3">
      <c r="E296" s="32"/>
      <c r="F296" s="1"/>
      <c r="G296" s="3"/>
      <c r="H296" s="38"/>
    </row>
    <row r="297" spans="5:8" ht="15.6" x14ac:dyDescent="0.3">
      <c r="E297" s="32"/>
      <c r="F297" s="1"/>
      <c r="G297" s="3"/>
      <c r="H297" s="38"/>
    </row>
    <row r="298" spans="5:8" ht="15.6" x14ac:dyDescent="0.3">
      <c r="E298" s="32"/>
      <c r="F298" s="1"/>
      <c r="G298" s="3"/>
      <c r="H298" s="38"/>
    </row>
    <row r="299" spans="5:8" ht="15.6" x14ac:dyDescent="0.3">
      <c r="E299" s="32"/>
      <c r="F299" s="1"/>
      <c r="G299" s="3"/>
      <c r="H299" s="38"/>
    </row>
    <row r="300" spans="5:8" ht="15.6" x14ac:dyDescent="0.3">
      <c r="E300" s="32"/>
      <c r="F300" s="1"/>
      <c r="G300" s="3"/>
      <c r="H300" s="38"/>
    </row>
    <row r="301" spans="5:8" ht="15.6" x14ac:dyDescent="0.3">
      <c r="E301" s="32"/>
      <c r="F301" s="1"/>
      <c r="G301" s="3"/>
      <c r="H301" s="38"/>
    </row>
    <row r="302" spans="5:8" ht="15.6" x14ac:dyDescent="0.3">
      <c r="E302" s="32"/>
      <c r="F302" s="1"/>
      <c r="G302" s="3"/>
      <c r="H302" s="38"/>
    </row>
    <row r="303" spans="5:8" ht="15.6" x14ac:dyDescent="0.3">
      <c r="E303" s="32"/>
      <c r="F303" s="1"/>
      <c r="G303" s="3"/>
      <c r="H303" s="38"/>
    </row>
    <row r="304" spans="5:8" ht="15.6" x14ac:dyDescent="0.3">
      <c r="E304" s="32"/>
      <c r="F304" s="1"/>
      <c r="G304" s="3"/>
      <c r="H304" s="38"/>
    </row>
    <row r="305" spans="5:8" ht="15.6" x14ac:dyDescent="0.3">
      <c r="E305" s="32"/>
      <c r="F305" s="1"/>
      <c r="G305" s="3"/>
      <c r="H305" s="38"/>
    </row>
    <row r="306" spans="5:8" ht="15.6" x14ac:dyDescent="0.3">
      <c r="E306" s="32"/>
      <c r="F306" s="1"/>
      <c r="G306" s="3"/>
      <c r="H306" s="38"/>
    </row>
    <row r="307" spans="5:8" ht="15.6" x14ac:dyDescent="0.3">
      <c r="E307" s="32"/>
      <c r="F307" s="1"/>
      <c r="G307" s="3"/>
      <c r="H307" s="38"/>
    </row>
    <row r="308" spans="5:8" ht="15.6" x14ac:dyDescent="0.3">
      <c r="E308" s="32"/>
      <c r="F308" s="1"/>
      <c r="G308" s="3"/>
      <c r="H308" s="38"/>
    </row>
    <row r="309" spans="5:8" ht="15.6" x14ac:dyDescent="0.3">
      <c r="E309" s="32"/>
      <c r="F309" s="1"/>
      <c r="G309" s="3"/>
      <c r="H309" s="38"/>
    </row>
    <row r="310" spans="5:8" ht="15.6" x14ac:dyDescent="0.3">
      <c r="E310" s="32"/>
      <c r="F310" s="1"/>
      <c r="G310" s="3"/>
      <c r="H310" s="38"/>
    </row>
    <row r="311" spans="5:8" ht="15.6" x14ac:dyDescent="0.3">
      <c r="E311" s="32"/>
      <c r="F311" s="1"/>
      <c r="G311" s="3"/>
      <c r="H311" s="38"/>
    </row>
    <row r="312" spans="5:8" ht="15.6" x14ac:dyDescent="0.3">
      <c r="E312" s="32"/>
      <c r="F312" s="1"/>
      <c r="G312" s="3"/>
      <c r="H312" s="38"/>
    </row>
    <row r="313" spans="5:8" ht="15.6" x14ac:dyDescent="0.3">
      <c r="E313" s="32"/>
      <c r="F313" s="1"/>
      <c r="G313" s="3"/>
      <c r="H313" s="38"/>
    </row>
    <row r="314" spans="5:8" ht="15.6" x14ac:dyDescent="0.3">
      <c r="E314" s="32"/>
      <c r="F314" s="1"/>
      <c r="G314" s="3"/>
      <c r="H314" s="38"/>
    </row>
    <row r="315" spans="5:8" ht="15.6" x14ac:dyDescent="0.3">
      <c r="E315" s="32"/>
      <c r="F315" s="1"/>
      <c r="G315" s="3"/>
      <c r="H315" s="38"/>
    </row>
    <row r="316" spans="5:8" ht="15.6" x14ac:dyDescent="0.3">
      <c r="E316" s="32"/>
      <c r="F316" s="1"/>
      <c r="G316" s="3"/>
      <c r="H316" s="38"/>
    </row>
    <row r="317" spans="5:8" ht="15.6" x14ac:dyDescent="0.3">
      <c r="E317" s="32"/>
      <c r="F317" s="1"/>
      <c r="G317" s="3"/>
      <c r="H317" s="38"/>
    </row>
    <row r="318" spans="5:8" ht="15.6" x14ac:dyDescent="0.3">
      <c r="E318" s="32"/>
      <c r="F318" s="1"/>
      <c r="G318" s="3"/>
      <c r="H318" s="38"/>
    </row>
    <row r="319" spans="5:8" ht="15.6" x14ac:dyDescent="0.3">
      <c r="E319" s="32"/>
      <c r="F319" s="1"/>
      <c r="G319" s="3"/>
      <c r="H319" s="38"/>
    </row>
    <row r="320" spans="5:8" ht="15.6" x14ac:dyDescent="0.3">
      <c r="E320" s="32"/>
      <c r="F320" s="1"/>
      <c r="G320" s="3"/>
      <c r="H320" s="38"/>
    </row>
    <row r="321" spans="5:8" ht="15.6" x14ac:dyDescent="0.3">
      <c r="E321" s="32"/>
      <c r="F321" s="1"/>
      <c r="G321" s="3"/>
      <c r="H321" s="38"/>
    </row>
    <row r="322" spans="5:8" ht="15.6" x14ac:dyDescent="0.3">
      <c r="E322" s="32"/>
      <c r="F322" s="1"/>
      <c r="G322" s="3"/>
      <c r="H322" s="38"/>
    </row>
    <row r="323" spans="5:8" ht="15.6" x14ac:dyDescent="0.3">
      <c r="E323" s="32"/>
      <c r="F323" s="1"/>
      <c r="G323" s="3"/>
      <c r="H323" s="38"/>
    </row>
    <row r="324" spans="5:8" ht="15.6" x14ac:dyDescent="0.3">
      <c r="E324" s="32"/>
      <c r="F324" s="1"/>
      <c r="G324" s="3"/>
      <c r="H324" s="38"/>
    </row>
    <row r="325" spans="5:8" ht="15.6" x14ac:dyDescent="0.3">
      <c r="E325" s="32"/>
      <c r="F325" s="1"/>
      <c r="G325" s="3"/>
      <c r="H325" s="38"/>
    </row>
    <row r="326" spans="5:8" ht="15.6" x14ac:dyDescent="0.3">
      <c r="E326" s="32"/>
      <c r="F326" s="1"/>
      <c r="G326" s="3"/>
      <c r="H326" s="38"/>
    </row>
    <row r="327" spans="5:8" ht="15.6" x14ac:dyDescent="0.3">
      <c r="E327" s="32"/>
      <c r="F327" s="1"/>
      <c r="G327" s="3"/>
      <c r="H327" s="38"/>
    </row>
    <row r="328" spans="5:8" ht="15.6" x14ac:dyDescent="0.3">
      <c r="E328" s="32"/>
      <c r="F328" s="1"/>
      <c r="G328" s="3"/>
      <c r="H328" s="38"/>
    </row>
    <row r="329" spans="5:8" ht="15.6" x14ac:dyDescent="0.3">
      <c r="E329" s="32"/>
      <c r="F329" s="1"/>
      <c r="G329" s="3"/>
      <c r="H329" s="38"/>
    </row>
    <row r="330" spans="5:8" ht="15.6" x14ac:dyDescent="0.3">
      <c r="E330" s="32"/>
      <c r="F330" s="1"/>
      <c r="G330" s="3"/>
      <c r="H330" s="38"/>
    </row>
    <row r="331" spans="5:8" ht="15.6" x14ac:dyDescent="0.3">
      <c r="E331" s="32"/>
      <c r="F331" s="1"/>
      <c r="G331" s="3"/>
      <c r="H331" s="38"/>
    </row>
    <row r="332" spans="5:8" ht="15.6" x14ac:dyDescent="0.3">
      <c r="E332" s="32"/>
      <c r="F332" s="1"/>
      <c r="G332" s="3"/>
      <c r="H332" s="38"/>
    </row>
    <row r="333" spans="5:8" ht="15.6" x14ac:dyDescent="0.3">
      <c r="E333" s="32"/>
      <c r="F333" s="1"/>
      <c r="G333" s="3"/>
      <c r="H333" s="38"/>
    </row>
    <row r="334" spans="5:8" ht="15.6" x14ac:dyDescent="0.3">
      <c r="E334" s="32"/>
      <c r="F334" s="1"/>
      <c r="G334" s="3"/>
      <c r="H334" s="38"/>
    </row>
    <row r="335" spans="5:8" ht="15.6" x14ac:dyDescent="0.3">
      <c r="E335" s="32"/>
      <c r="F335" s="1"/>
      <c r="G335" s="3"/>
      <c r="H335" s="38"/>
    </row>
    <row r="336" spans="5:8" ht="15.6" x14ac:dyDescent="0.3">
      <c r="E336" s="32"/>
      <c r="F336" s="1"/>
      <c r="G336" s="3"/>
      <c r="H336" s="38"/>
    </row>
    <row r="337" spans="5:8" ht="15.6" x14ac:dyDescent="0.3">
      <c r="E337" s="32"/>
      <c r="F337" s="1"/>
      <c r="G337" s="3"/>
      <c r="H337" s="38"/>
    </row>
    <row r="338" spans="5:8" ht="15.6" x14ac:dyDescent="0.3">
      <c r="E338" s="32"/>
      <c r="F338" s="1"/>
      <c r="G338" s="3"/>
      <c r="H338" s="38"/>
    </row>
    <row r="339" spans="5:8" ht="15.6" x14ac:dyDescent="0.3">
      <c r="E339" s="32"/>
      <c r="F339" s="1"/>
      <c r="G339" s="3"/>
      <c r="H339" s="38"/>
    </row>
    <row r="340" spans="5:8" ht="15.6" x14ac:dyDescent="0.3">
      <c r="E340" s="32"/>
      <c r="F340" s="1"/>
      <c r="G340" s="3"/>
      <c r="H340" s="38"/>
    </row>
    <row r="341" spans="5:8" ht="15.6" x14ac:dyDescent="0.3">
      <c r="E341" s="32"/>
      <c r="F341" s="1"/>
      <c r="G341" s="3"/>
      <c r="H341" s="38"/>
    </row>
    <row r="342" spans="5:8" ht="15.6" x14ac:dyDescent="0.3">
      <c r="E342" s="32"/>
      <c r="F342" s="1"/>
      <c r="G342" s="3"/>
      <c r="H342" s="38"/>
    </row>
    <row r="343" spans="5:8" ht="15.6" x14ac:dyDescent="0.3">
      <c r="E343" s="32"/>
      <c r="F343" s="1"/>
      <c r="G343" s="3"/>
      <c r="H343" s="38"/>
    </row>
    <row r="344" spans="5:8" ht="15.6" x14ac:dyDescent="0.3">
      <c r="E344" s="32"/>
      <c r="F344" s="1"/>
      <c r="G344" s="3"/>
      <c r="H344" s="38"/>
    </row>
    <row r="345" spans="5:8" ht="15.6" x14ac:dyDescent="0.3">
      <c r="E345" s="32"/>
      <c r="F345" s="1"/>
      <c r="G345" s="3"/>
      <c r="H345" s="38"/>
    </row>
    <row r="346" spans="5:8" ht="15.6" x14ac:dyDescent="0.3">
      <c r="E346" s="32"/>
      <c r="F346" s="1"/>
      <c r="G346" s="3"/>
      <c r="H346" s="38"/>
    </row>
    <row r="347" spans="5:8" ht="15.6" x14ac:dyDescent="0.3">
      <c r="E347" s="32"/>
      <c r="F347" s="1"/>
      <c r="G347" s="3"/>
      <c r="H347" s="38"/>
    </row>
    <row r="348" spans="5:8" ht="15.6" x14ac:dyDescent="0.3">
      <c r="E348" s="32"/>
      <c r="F348" s="1"/>
      <c r="G348" s="3"/>
      <c r="H348" s="38"/>
    </row>
    <row r="349" spans="5:8" ht="15.6" x14ac:dyDescent="0.3">
      <c r="E349" s="32"/>
      <c r="F349" s="1"/>
      <c r="G349" s="3"/>
      <c r="H349" s="38"/>
    </row>
    <row r="350" spans="5:8" ht="15.6" x14ac:dyDescent="0.3">
      <c r="E350" s="32"/>
      <c r="F350" s="1"/>
      <c r="G350" s="3"/>
      <c r="H350" s="38"/>
    </row>
    <row r="351" spans="5:8" ht="15.6" x14ac:dyDescent="0.3">
      <c r="E351" s="32"/>
      <c r="F351" s="1"/>
      <c r="G351" s="3"/>
      <c r="H351" s="38"/>
    </row>
    <row r="352" spans="5:8" ht="15.6" x14ac:dyDescent="0.3">
      <c r="E352" s="32"/>
      <c r="F352" s="1"/>
      <c r="G352" s="3"/>
      <c r="H352" s="38"/>
    </row>
    <row r="353" spans="5:8" ht="15.6" x14ac:dyDescent="0.3">
      <c r="E353" s="32"/>
      <c r="F353" s="1"/>
      <c r="G353" s="3"/>
      <c r="H353" s="38"/>
    </row>
    <row r="354" spans="5:8" ht="15.6" x14ac:dyDescent="0.3">
      <c r="E354" s="32"/>
      <c r="F354" s="1"/>
      <c r="G354" s="3"/>
      <c r="H354" s="38"/>
    </row>
    <row r="355" spans="5:8" ht="15.6" x14ac:dyDescent="0.3">
      <c r="E355" s="32"/>
      <c r="F355" s="1"/>
      <c r="G355" s="3"/>
      <c r="H355" s="38"/>
    </row>
    <row r="356" spans="5:8" ht="15.6" x14ac:dyDescent="0.3">
      <c r="E356" s="32"/>
      <c r="F356" s="1"/>
      <c r="G356" s="3"/>
      <c r="H356" s="38"/>
    </row>
    <row r="357" spans="5:8" ht="15.6" x14ac:dyDescent="0.3">
      <c r="E357" s="32"/>
      <c r="F357" s="1"/>
      <c r="G357" s="3"/>
      <c r="H357" s="38"/>
    </row>
    <row r="358" spans="5:8" ht="15.6" x14ac:dyDescent="0.3">
      <c r="E358" s="32"/>
      <c r="F358" s="1"/>
      <c r="G358" s="3"/>
      <c r="H358" s="38"/>
    </row>
    <row r="359" spans="5:8" ht="15.6" x14ac:dyDescent="0.3">
      <c r="E359" s="32"/>
      <c r="F359" s="1"/>
      <c r="G359" s="3"/>
      <c r="H359" s="38"/>
    </row>
    <row r="360" spans="5:8" ht="15.6" x14ac:dyDescent="0.3">
      <c r="E360" s="32"/>
      <c r="F360" s="1"/>
      <c r="G360" s="3"/>
      <c r="H360" s="38"/>
    </row>
    <row r="361" spans="5:8" ht="15.6" x14ac:dyDescent="0.3">
      <c r="E361" s="32"/>
      <c r="F361" s="1"/>
      <c r="G361" s="3"/>
      <c r="H361" s="38"/>
    </row>
    <row r="362" spans="5:8" ht="15.6" x14ac:dyDescent="0.3">
      <c r="E362" s="32"/>
      <c r="F362" s="1"/>
      <c r="G362" s="3"/>
      <c r="H362" s="38"/>
    </row>
    <row r="363" spans="5:8" ht="15.6" x14ac:dyDescent="0.3">
      <c r="E363" s="32"/>
      <c r="F363" s="1"/>
      <c r="G363" s="3"/>
      <c r="H363" s="38"/>
    </row>
    <row r="364" spans="5:8" ht="15.6" x14ac:dyDescent="0.3">
      <c r="E364" s="32"/>
      <c r="F364" s="1"/>
      <c r="G364" s="3"/>
      <c r="H364" s="38"/>
    </row>
    <row r="365" spans="5:8" ht="15.6" x14ac:dyDescent="0.3">
      <c r="E365" s="32"/>
      <c r="F365" s="1"/>
      <c r="G365" s="3"/>
      <c r="H365" s="38"/>
    </row>
    <row r="366" spans="5:8" ht="15.6" x14ac:dyDescent="0.3">
      <c r="E366" s="32"/>
      <c r="F366" s="1"/>
      <c r="G366" s="3"/>
      <c r="H366" s="38"/>
    </row>
    <row r="367" spans="5:8" ht="15.6" x14ac:dyDescent="0.3">
      <c r="E367" s="32"/>
      <c r="F367" s="1"/>
      <c r="G367" s="3"/>
      <c r="H367" s="38"/>
    </row>
    <row r="368" spans="5:8" ht="15.6" x14ac:dyDescent="0.3">
      <c r="E368" s="32"/>
      <c r="F368" s="1"/>
      <c r="G368" s="3"/>
      <c r="H368" s="38"/>
    </row>
    <row r="369" spans="5:8" ht="15.6" x14ac:dyDescent="0.3">
      <c r="E369" s="32"/>
      <c r="F369" s="1"/>
      <c r="G369" s="3"/>
      <c r="H369" s="38"/>
    </row>
    <row r="370" spans="5:8" ht="15.6" x14ac:dyDescent="0.3">
      <c r="E370" s="32"/>
      <c r="F370" s="1"/>
      <c r="G370" s="3"/>
      <c r="H370" s="38"/>
    </row>
    <row r="371" spans="5:8" ht="15.6" x14ac:dyDescent="0.3">
      <c r="E371" s="32"/>
      <c r="F371" s="1"/>
      <c r="G371" s="3"/>
      <c r="H371" s="38"/>
    </row>
    <row r="372" spans="5:8" ht="15.6" x14ac:dyDescent="0.3">
      <c r="E372" s="32"/>
      <c r="F372" s="1"/>
      <c r="G372" s="3"/>
      <c r="H372" s="38"/>
    </row>
    <row r="373" spans="5:8" ht="15.6" x14ac:dyDescent="0.3">
      <c r="E373" s="32"/>
      <c r="F373" s="1"/>
      <c r="G373" s="3"/>
      <c r="H373" s="38"/>
    </row>
    <row r="374" spans="5:8" ht="15.6" x14ac:dyDescent="0.3">
      <c r="E374" s="32"/>
      <c r="F374" s="1"/>
      <c r="G374" s="3"/>
      <c r="H374" s="38"/>
    </row>
    <row r="375" spans="5:8" ht="15.6" x14ac:dyDescent="0.3">
      <c r="E375" s="32"/>
      <c r="F375" s="1"/>
      <c r="G375" s="3"/>
      <c r="H375" s="38"/>
    </row>
    <row r="376" spans="5:8" ht="15.6" x14ac:dyDescent="0.3">
      <c r="E376" s="32"/>
      <c r="F376" s="1"/>
      <c r="G376" s="3"/>
      <c r="H376" s="38"/>
    </row>
    <row r="377" spans="5:8" ht="15.6" x14ac:dyDescent="0.3">
      <c r="E377" s="32"/>
      <c r="F377" s="1"/>
      <c r="G377" s="3"/>
      <c r="H377" s="38"/>
    </row>
    <row r="378" spans="5:8" ht="15.6" x14ac:dyDescent="0.3">
      <c r="E378" s="32"/>
      <c r="F378" s="1"/>
      <c r="G378" s="3"/>
      <c r="H378" s="38"/>
    </row>
    <row r="379" spans="5:8" ht="15.6" x14ac:dyDescent="0.3">
      <c r="E379" s="32"/>
      <c r="F379" s="1"/>
      <c r="G379" s="3"/>
      <c r="H379" s="38"/>
    </row>
    <row r="380" spans="5:8" ht="15.6" x14ac:dyDescent="0.3">
      <c r="E380" s="32"/>
      <c r="F380" s="1"/>
      <c r="G380" s="3"/>
      <c r="H380" s="38"/>
    </row>
    <row r="381" spans="5:8" ht="15.6" x14ac:dyDescent="0.3">
      <c r="E381" s="32"/>
      <c r="F381" s="1"/>
      <c r="G381" s="3"/>
      <c r="H381" s="38"/>
    </row>
    <row r="382" spans="5:8" ht="15.6" x14ac:dyDescent="0.3">
      <c r="E382" s="32"/>
      <c r="F382" s="1"/>
      <c r="G382" s="3"/>
      <c r="H382" s="38"/>
    </row>
    <row r="383" spans="5:8" ht="15.6" x14ac:dyDescent="0.3">
      <c r="E383" s="32"/>
      <c r="F383" s="1"/>
      <c r="G383" s="3"/>
      <c r="H383" s="38"/>
    </row>
    <row r="384" spans="5:8" ht="15.6" x14ac:dyDescent="0.3">
      <c r="E384" s="32"/>
      <c r="F384" s="1"/>
      <c r="G384" s="3"/>
      <c r="H384" s="38"/>
    </row>
    <row r="385" spans="5:8" ht="15.6" x14ac:dyDescent="0.3">
      <c r="E385" s="32"/>
      <c r="F385" s="1"/>
      <c r="G385" s="3"/>
      <c r="H385" s="38"/>
    </row>
    <row r="386" spans="5:8" ht="15.6" x14ac:dyDescent="0.3">
      <c r="E386" s="32"/>
      <c r="F386" s="1"/>
      <c r="G386" s="3"/>
      <c r="H386" s="38"/>
    </row>
    <row r="387" spans="5:8" ht="15.6" x14ac:dyDescent="0.3">
      <c r="E387" s="32"/>
      <c r="F387" s="1"/>
      <c r="G387" s="3"/>
      <c r="H387" s="38"/>
    </row>
    <row r="388" spans="5:8" ht="15.6" x14ac:dyDescent="0.3">
      <c r="E388" s="32"/>
      <c r="F388" s="1"/>
      <c r="G388" s="3"/>
      <c r="H388" s="38"/>
    </row>
    <row r="389" spans="5:8" ht="15.6" x14ac:dyDescent="0.3">
      <c r="E389" s="32"/>
      <c r="F389" s="1"/>
      <c r="G389" s="3"/>
      <c r="H389" s="38"/>
    </row>
    <row r="390" spans="5:8" ht="15.6" x14ac:dyDescent="0.3">
      <c r="E390" s="32"/>
      <c r="F390" s="1"/>
      <c r="G390" s="3"/>
      <c r="H390" s="38"/>
    </row>
    <row r="391" spans="5:8" ht="15.6" x14ac:dyDescent="0.3">
      <c r="E391" s="32"/>
      <c r="F391" s="1"/>
      <c r="G391" s="3"/>
      <c r="H391" s="38"/>
    </row>
    <row r="392" spans="5:8" ht="15.6" x14ac:dyDescent="0.3">
      <c r="E392" s="32"/>
      <c r="F392" s="1"/>
      <c r="G392" s="3"/>
      <c r="H392" s="38"/>
    </row>
    <row r="393" spans="5:8" ht="15.6" x14ac:dyDescent="0.3">
      <c r="E393" s="32"/>
      <c r="F393" s="1"/>
      <c r="G393" s="3"/>
      <c r="H393" s="38"/>
    </row>
    <row r="394" spans="5:8" ht="15.6" x14ac:dyDescent="0.3">
      <c r="E394" s="32"/>
      <c r="F394" s="1"/>
      <c r="G394" s="3"/>
      <c r="H394" s="38"/>
    </row>
    <row r="395" spans="5:8" ht="15.6" x14ac:dyDescent="0.3">
      <c r="E395" s="32"/>
      <c r="F395" s="1"/>
      <c r="G395" s="3"/>
      <c r="H395" s="38"/>
    </row>
    <row r="396" spans="5:8" ht="15.6" x14ac:dyDescent="0.3">
      <c r="E396" s="32"/>
      <c r="F396" s="1"/>
      <c r="G396" s="3"/>
      <c r="H396" s="38"/>
    </row>
    <row r="397" spans="5:8" ht="15.6" x14ac:dyDescent="0.3">
      <c r="E397" s="32"/>
      <c r="F397" s="1"/>
      <c r="G397" s="3"/>
      <c r="H397" s="38"/>
    </row>
    <row r="398" spans="5:8" ht="15.6" x14ac:dyDescent="0.3">
      <c r="E398" s="32"/>
      <c r="F398" s="1"/>
      <c r="G398" s="3"/>
      <c r="H398" s="38"/>
    </row>
    <row r="399" spans="5:8" ht="15.6" x14ac:dyDescent="0.3">
      <c r="E399" s="32"/>
      <c r="F399" s="1"/>
      <c r="G399" s="3"/>
      <c r="H399" s="38"/>
    </row>
    <row r="400" spans="5:8" ht="15.6" x14ac:dyDescent="0.3">
      <c r="E400" s="32"/>
      <c r="F400" s="1"/>
      <c r="G400" s="3"/>
      <c r="H400" s="38"/>
    </row>
    <row r="401" spans="5:8" ht="15.6" x14ac:dyDescent="0.3">
      <c r="E401" s="32"/>
      <c r="F401" s="1"/>
      <c r="G401" s="3"/>
      <c r="H401" s="38"/>
    </row>
    <row r="402" spans="5:8" ht="15.6" x14ac:dyDescent="0.3">
      <c r="E402" s="32"/>
      <c r="F402" s="1"/>
      <c r="G402" s="3"/>
      <c r="H402" s="38"/>
    </row>
    <row r="403" spans="5:8" ht="15.6" x14ac:dyDescent="0.3">
      <c r="E403" s="32"/>
      <c r="F403" s="1"/>
      <c r="G403" s="3"/>
      <c r="H403" s="38"/>
    </row>
    <row r="404" spans="5:8" ht="15.6" x14ac:dyDescent="0.3">
      <c r="E404" s="32"/>
      <c r="F404" s="1"/>
      <c r="G404" s="3"/>
      <c r="H404" s="38"/>
    </row>
    <row r="405" spans="5:8" ht="15.6" x14ac:dyDescent="0.3">
      <c r="E405" s="32"/>
      <c r="F405" s="1"/>
      <c r="G405" s="3"/>
      <c r="H405" s="38"/>
    </row>
    <row r="406" spans="5:8" ht="15.6" x14ac:dyDescent="0.3">
      <c r="E406" s="32"/>
      <c r="F406" s="1"/>
      <c r="G406" s="3"/>
      <c r="H406" s="38"/>
    </row>
    <row r="407" spans="5:8" ht="15.6" x14ac:dyDescent="0.3">
      <c r="E407" s="32"/>
      <c r="F407" s="1"/>
      <c r="G407" s="3"/>
      <c r="H407" s="38"/>
    </row>
    <row r="408" spans="5:8" ht="15.6" x14ac:dyDescent="0.3">
      <c r="E408" s="32"/>
      <c r="F408" s="1"/>
      <c r="G408" s="3"/>
      <c r="H408" s="38"/>
    </row>
    <row r="409" spans="5:8" ht="15.6" x14ac:dyDescent="0.3">
      <c r="E409" s="32"/>
      <c r="F409" s="1"/>
      <c r="G409" s="3"/>
      <c r="H409" s="38"/>
    </row>
    <row r="410" spans="5:8" ht="15.6" x14ac:dyDescent="0.3">
      <c r="E410" s="32"/>
      <c r="F410" s="1"/>
      <c r="G410" s="3"/>
      <c r="H410" s="38"/>
    </row>
    <row r="411" spans="5:8" ht="15.6" x14ac:dyDescent="0.3">
      <c r="E411" s="32"/>
      <c r="F411" s="1"/>
      <c r="G411" s="3"/>
      <c r="H411" s="38"/>
    </row>
    <row r="412" spans="5:8" ht="15.6" x14ac:dyDescent="0.3">
      <c r="E412" s="32"/>
      <c r="F412" s="1"/>
      <c r="G412" s="3"/>
      <c r="H412" s="38"/>
    </row>
    <row r="413" spans="5:8" ht="15.6" x14ac:dyDescent="0.3">
      <c r="E413" s="32"/>
      <c r="F413" s="1"/>
      <c r="G413" s="3"/>
      <c r="H413" s="38"/>
    </row>
    <row r="414" spans="5:8" ht="15.6" x14ac:dyDescent="0.3">
      <c r="E414" s="32"/>
      <c r="F414" s="1"/>
      <c r="G414" s="3"/>
      <c r="H414" s="38"/>
    </row>
    <row r="415" spans="5:8" ht="15.6" x14ac:dyDescent="0.3">
      <c r="E415" s="32"/>
      <c r="F415" s="1"/>
      <c r="G415" s="3"/>
      <c r="H415" s="38"/>
    </row>
    <row r="416" spans="5:8" ht="15.6" x14ac:dyDescent="0.3">
      <c r="E416" s="32"/>
      <c r="F416" s="1"/>
      <c r="G416" s="3"/>
      <c r="H416" s="38"/>
    </row>
    <row r="417" spans="5:8" ht="15.6" x14ac:dyDescent="0.3">
      <c r="E417" s="32"/>
      <c r="F417" s="1"/>
      <c r="G417" s="3"/>
      <c r="H417" s="38"/>
    </row>
    <row r="418" spans="5:8" ht="15.6" x14ac:dyDescent="0.3">
      <c r="E418" s="32"/>
      <c r="F418" s="1"/>
      <c r="G418" s="3"/>
      <c r="H418" s="38"/>
    </row>
    <row r="419" spans="5:8" ht="15.6" x14ac:dyDescent="0.3">
      <c r="E419" s="32"/>
      <c r="F419" s="1"/>
      <c r="G419" s="3"/>
      <c r="H419" s="38"/>
    </row>
    <row r="420" spans="5:8" ht="15.6" x14ac:dyDescent="0.3">
      <c r="E420" s="32"/>
      <c r="F420" s="1"/>
      <c r="G420" s="3"/>
      <c r="H420" s="38"/>
    </row>
    <row r="421" spans="5:8" ht="15.6" x14ac:dyDescent="0.3">
      <c r="E421" s="32"/>
      <c r="F421" s="1"/>
      <c r="G421" s="3"/>
      <c r="H421" s="38"/>
    </row>
    <row r="422" spans="5:8" ht="15.6" x14ac:dyDescent="0.3">
      <c r="E422" s="32"/>
      <c r="F422" s="1"/>
      <c r="G422" s="3"/>
      <c r="H422" s="38"/>
    </row>
    <row r="423" spans="5:8" ht="15.6" x14ac:dyDescent="0.3">
      <c r="E423" s="32"/>
      <c r="F423" s="1"/>
      <c r="G423" s="3"/>
      <c r="H423" s="38"/>
    </row>
    <row r="424" spans="5:8" ht="15.6" x14ac:dyDescent="0.3">
      <c r="E424" s="32"/>
      <c r="F424" s="1"/>
      <c r="G424" s="3"/>
      <c r="H424" s="38"/>
    </row>
    <row r="425" spans="5:8" ht="15.6" x14ac:dyDescent="0.3">
      <c r="E425" s="32"/>
      <c r="F425" s="1"/>
      <c r="G425" s="3"/>
      <c r="H425" s="38"/>
    </row>
    <row r="426" spans="5:8" ht="15.6" x14ac:dyDescent="0.3">
      <c r="E426" s="32"/>
      <c r="F426" s="1"/>
      <c r="G426" s="3"/>
      <c r="H426" s="38"/>
    </row>
    <row r="427" spans="5:8" ht="15.6" x14ac:dyDescent="0.3">
      <c r="E427" s="32"/>
      <c r="F427" s="1"/>
      <c r="G427" s="3"/>
      <c r="H427" s="38"/>
    </row>
    <row r="428" spans="5:8" ht="15.6" x14ac:dyDescent="0.3">
      <c r="E428" s="32"/>
      <c r="F428" s="1"/>
      <c r="G428" s="3"/>
      <c r="H428" s="38"/>
    </row>
    <row r="429" spans="5:8" ht="15.6" x14ac:dyDescent="0.3">
      <c r="E429" s="32"/>
      <c r="F429" s="1"/>
      <c r="G429" s="3"/>
      <c r="H429" s="38"/>
    </row>
    <row r="430" spans="5:8" ht="15.6" x14ac:dyDescent="0.3">
      <c r="E430" s="32"/>
      <c r="F430" s="1"/>
      <c r="G430" s="3"/>
      <c r="H430" s="38"/>
    </row>
    <row r="431" spans="5:8" ht="15.6" x14ac:dyDescent="0.3">
      <c r="E431" s="32"/>
      <c r="F431" s="1"/>
      <c r="G431" s="3"/>
      <c r="H431" s="38"/>
    </row>
    <row r="432" spans="5:8" ht="15.6" x14ac:dyDescent="0.3">
      <c r="E432" s="32"/>
      <c r="F432" s="1"/>
      <c r="G432" s="3"/>
      <c r="H432" s="38"/>
    </row>
    <row r="433" spans="5:8" ht="15.6" x14ac:dyDescent="0.3">
      <c r="E433" s="32"/>
      <c r="F433" s="1"/>
      <c r="G433" s="3"/>
      <c r="H433" s="38"/>
    </row>
    <row r="434" spans="5:8" ht="15.6" x14ac:dyDescent="0.3">
      <c r="E434" s="32"/>
      <c r="F434" s="1"/>
      <c r="G434" s="3"/>
      <c r="H434" s="38"/>
    </row>
    <row r="435" spans="5:8" ht="15.6" x14ac:dyDescent="0.3">
      <c r="E435" s="32"/>
      <c r="F435" s="1"/>
      <c r="G435" s="3"/>
      <c r="H435" s="38"/>
    </row>
    <row r="436" spans="5:8" ht="15.6" x14ac:dyDescent="0.3">
      <c r="E436" s="32"/>
      <c r="F436" s="1"/>
      <c r="G436" s="3"/>
      <c r="H436" s="38"/>
    </row>
    <row r="437" spans="5:8" ht="15.6" x14ac:dyDescent="0.3">
      <c r="E437" s="32"/>
      <c r="F437" s="1"/>
      <c r="G437" s="3"/>
      <c r="H437" s="38"/>
    </row>
    <row r="438" spans="5:8" ht="15.6" x14ac:dyDescent="0.3">
      <c r="E438" s="32"/>
      <c r="F438" s="1"/>
      <c r="G438" s="3"/>
      <c r="H438" s="38"/>
    </row>
    <row r="439" spans="5:8" ht="15.6" x14ac:dyDescent="0.3">
      <c r="E439" s="32"/>
      <c r="F439" s="1"/>
      <c r="G439" s="3"/>
      <c r="H439" s="38"/>
    </row>
    <row r="440" spans="5:8" ht="15.6" x14ac:dyDescent="0.3">
      <c r="E440" s="32"/>
      <c r="F440" s="1"/>
      <c r="G440" s="3"/>
      <c r="H440" s="38"/>
    </row>
    <row r="441" spans="5:8" ht="15.6" x14ac:dyDescent="0.3">
      <c r="E441" s="32"/>
      <c r="F441" s="1"/>
      <c r="G441" s="3"/>
      <c r="H441" s="38"/>
    </row>
    <row r="442" spans="5:8" ht="15.6" x14ac:dyDescent="0.3">
      <c r="E442" s="32"/>
      <c r="F442" s="1"/>
      <c r="G442" s="3"/>
      <c r="H442" s="38"/>
    </row>
    <row r="443" spans="5:8" ht="15.6" x14ac:dyDescent="0.3">
      <c r="E443" s="32"/>
      <c r="F443" s="1"/>
      <c r="G443" s="3"/>
      <c r="H443" s="38"/>
    </row>
    <row r="444" spans="5:8" ht="15.6" x14ac:dyDescent="0.3">
      <c r="E444" s="32"/>
      <c r="F444" s="1"/>
      <c r="G444" s="3"/>
      <c r="H444" s="38"/>
    </row>
    <row r="445" spans="5:8" ht="15.6" x14ac:dyDescent="0.3">
      <c r="E445" s="32"/>
      <c r="F445" s="1"/>
      <c r="G445" s="3"/>
      <c r="H445" s="38"/>
    </row>
    <row r="446" spans="5:8" ht="15.6" x14ac:dyDescent="0.3">
      <c r="E446" s="32"/>
      <c r="F446" s="1"/>
      <c r="G446" s="3"/>
      <c r="H446" s="38"/>
    </row>
    <row r="447" spans="5:8" ht="15.6" x14ac:dyDescent="0.3">
      <c r="E447" s="32"/>
      <c r="F447" s="1"/>
      <c r="G447" s="3"/>
      <c r="H447" s="38"/>
    </row>
    <row r="448" spans="5:8" ht="15.6" x14ac:dyDescent="0.3">
      <c r="E448" s="32"/>
      <c r="F448" s="1"/>
      <c r="G448" s="3"/>
      <c r="H448" s="38"/>
    </row>
    <row r="449" spans="5:8" ht="15.6" x14ac:dyDescent="0.3">
      <c r="E449" s="32"/>
      <c r="F449" s="1"/>
      <c r="G449" s="3"/>
      <c r="H449" s="38"/>
    </row>
    <row r="450" spans="5:8" ht="15.6" x14ac:dyDescent="0.3">
      <c r="E450" s="32"/>
      <c r="F450" s="1"/>
      <c r="G450" s="3"/>
      <c r="H450" s="38"/>
    </row>
    <row r="451" spans="5:8" ht="15.6" x14ac:dyDescent="0.3">
      <c r="E451" s="32"/>
      <c r="F451" s="1"/>
      <c r="G451" s="3"/>
      <c r="H451" s="38"/>
    </row>
    <row r="452" spans="5:8" ht="15.6" x14ac:dyDescent="0.3">
      <c r="E452" s="32"/>
      <c r="F452" s="1"/>
      <c r="G452" s="3"/>
      <c r="H452" s="38"/>
    </row>
    <row r="453" spans="5:8" ht="15.6" x14ac:dyDescent="0.3">
      <c r="E453" s="32"/>
      <c r="F453" s="1"/>
      <c r="G453" s="3"/>
      <c r="H453" s="38"/>
    </row>
    <row r="454" spans="5:8" ht="15.6" x14ac:dyDescent="0.3">
      <c r="E454" s="32"/>
      <c r="F454" s="1"/>
      <c r="G454" s="3"/>
      <c r="H454" s="38"/>
    </row>
    <row r="455" spans="5:8" ht="15.6" x14ac:dyDescent="0.3">
      <c r="E455" s="32"/>
      <c r="F455" s="1"/>
      <c r="G455" s="3"/>
      <c r="H455" s="38"/>
    </row>
    <row r="456" spans="5:8" ht="15.6" x14ac:dyDescent="0.3">
      <c r="E456" s="32"/>
      <c r="F456" s="1"/>
      <c r="G456" s="3"/>
      <c r="H456" s="38"/>
    </row>
    <row r="457" spans="5:8" ht="15.6" x14ac:dyDescent="0.3">
      <c r="E457" s="32"/>
      <c r="F457" s="1"/>
      <c r="G457" s="3"/>
      <c r="H457" s="38"/>
    </row>
    <row r="458" spans="5:8" ht="15.6" x14ac:dyDescent="0.3">
      <c r="E458" s="32"/>
      <c r="F458" s="1"/>
      <c r="G458" s="3"/>
      <c r="H458" s="38"/>
    </row>
    <row r="459" spans="5:8" ht="15.6" x14ac:dyDescent="0.3">
      <c r="E459" s="32"/>
      <c r="F459" s="1"/>
      <c r="G459" s="3"/>
      <c r="H459" s="38"/>
    </row>
    <row r="460" spans="5:8" ht="15.6" x14ac:dyDescent="0.3">
      <c r="E460" s="32"/>
      <c r="F460" s="1"/>
      <c r="G460" s="3"/>
      <c r="H460" s="38"/>
    </row>
    <row r="461" spans="5:8" ht="15.6" x14ac:dyDescent="0.3">
      <c r="E461" s="32"/>
      <c r="F461" s="1"/>
      <c r="G461" s="3"/>
      <c r="H461" s="38"/>
    </row>
    <row r="462" spans="5:8" ht="15.6" x14ac:dyDescent="0.3">
      <c r="E462" s="32"/>
      <c r="F462" s="1"/>
      <c r="G462" s="3"/>
      <c r="H462" s="38"/>
    </row>
    <row r="463" spans="5:8" ht="15.6" x14ac:dyDescent="0.3">
      <c r="E463" s="32"/>
      <c r="F463" s="1"/>
      <c r="G463" s="3"/>
      <c r="H463" s="38"/>
    </row>
    <row r="464" spans="5:8" ht="15.6" x14ac:dyDescent="0.3">
      <c r="E464" s="32"/>
      <c r="F464" s="1"/>
      <c r="G464" s="3"/>
      <c r="H464" s="38"/>
    </row>
    <row r="465" spans="5:8" ht="15.6" x14ac:dyDescent="0.3">
      <c r="E465" s="32"/>
      <c r="F465" s="1"/>
      <c r="G465" s="3"/>
      <c r="H465" s="38"/>
    </row>
    <row r="466" spans="5:8" ht="15.6" x14ac:dyDescent="0.3">
      <c r="E466" s="32"/>
      <c r="F466" s="1"/>
      <c r="G466" s="3"/>
      <c r="H466" s="38"/>
    </row>
    <row r="467" spans="5:8" ht="15.6" x14ac:dyDescent="0.3">
      <c r="E467" s="32"/>
      <c r="F467" s="1"/>
      <c r="G467" s="3"/>
      <c r="H467" s="38"/>
    </row>
    <row r="468" spans="5:8" ht="15.6" x14ac:dyDescent="0.3">
      <c r="E468" s="32"/>
      <c r="F468" s="1"/>
      <c r="G468" s="3"/>
      <c r="H468" s="38"/>
    </row>
    <row r="469" spans="5:8" ht="15.6" x14ac:dyDescent="0.3">
      <c r="E469" s="32"/>
      <c r="F469" s="1"/>
      <c r="G469" s="3"/>
      <c r="H469" s="38"/>
    </row>
    <row r="470" spans="5:8" ht="15.6" x14ac:dyDescent="0.3">
      <c r="E470" s="32"/>
      <c r="F470" s="1"/>
      <c r="G470" s="3"/>
      <c r="H470" s="38"/>
    </row>
    <row r="471" spans="5:8" ht="15.6" x14ac:dyDescent="0.3">
      <c r="E471" s="32"/>
      <c r="F471" s="1"/>
      <c r="G471" s="3"/>
      <c r="H471" s="38"/>
    </row>
    <row r="472" spans="5:8" ht="15.6" x14ac:dyDescent="0.3">
      <c r="E472" s="32"/>
      <c r="F472" s="1"/>
      <c r="G472" s="3"/>
      <c r="H472" s="38"/>
    </row>
    <row r="473" spans="5:8" ht="15.6" x14ac:dyDescent="0.3">
      <c r="E473" s="32"/>
      <c r="F473" s="1"/>
      <c r="G473" s="3"/>
      <c r="H473" s="38"/>
    </row>
    <row r="474" spans="5:8" ht="15.6" x14ac:dyDescent="0.3">
      <c r="E474" s="32"/>
      <c r="F474" s="1"/>
      <c r="G474" s="3"/>
      <c r="H474" s="38"/>
    </row>
    <row r="475" spans="5:8" ht="15.6" x14ac:dyDescent="0.3">
      <c r="E475" s="32"/>
      <c r="F475" s="1"/>
      <c r="G475" s="3"/>
      <c r="H475" s="38"/>
    </row>
    <row r="476" spans="5:8" ht="15.6" x14ac:dyDescent="0.3">
      <c r="E476" s="32"/>
      <c r="F476" s="1"/>
      <c r="G476" s="3"/>
      <c r="H476" s="38"/>
    </row>
    <row r="477" spans="5:8" ht="15.6" x14ac:dyDescent="0.3">
      <c r="E477" s="32"/>
      <c r="F477" s="1"/>
      <c r="G477" s="3"/>
      <c r="H477" s="38"/>
    </row>
    <row r="478" spans="5:8" ht="15.6" x14ac:dyDescent="0.3">
      <c r="E478" s="32"/>
      <c r="F478" s="1"/>
      <c r="G478" s="3"/>
      <c r="H478" s="38"/>
    </row>
    <row r="479" spans="5:8" ht="15.6" x14ac:dyDescent="0.3">
      <c r="E479" s="32"/>
      <c r="F479" s="1"/>
      <c r="G479" s="3"/>
      <c r="H479" s="38"/>
    </row>
    <row r="480" spans="5:8" ht="15.6" x14ac:dyDescent="0.3">
      <c r="E480" s="32"/>
      <c r="F480" s="1"/>
      <c r="G480" s="3"/>
      <c r="H480" s="38"/>
    </row>
    <row r="481" spans="5:8" ht="15.6" x14ac:dyDescent="0.3">
      <c r="E481" s="32"/>
      <c r="F481" s="1"/>
      <c r="G481" s="3"/>
      <c r="H481" s="38"/>
    </row>
    <row r="482" spans="5:8" ht="15.6" x14ac:dyDescent="0.3">
      <c r="E482" s="32"/>
      <c r="F482" s="1"/>
      <c r="G482" s="3"/>
      <c r="H482" s="38"/>
    </row>
    <row r="483" spans="5:8" ht="15.6" x14ac:dyDescent="0.3">
      <c r="E483" s="32"/>
      <c r="F483" s="1"/>
      <c r="G483" s="3"/>
      <c r="H483" s="38"/>
    </row>
    <row r="484" spans="5:8" ht="15.6" x14ac:dyDescent="0.3">
      <c r="E484" s="32"/>
      <c r="F484" s="1"/>
      <c r="G484" s="3"/>
      <c r="H484" s="38"/>
    </row>
    <row r="485" spans="5:8" ht="15.6" x14ac:dyDescent="0.3">
      <c r="E485" s="49"/>
      <c r="F485" s="3"/>
      <c r="G485" s="38"/>
    </row>
    <row r="486" spans="5:8" ht="15.6" x14ac:dyDescent="0.3">
      <c r="E486" s="49"/>
      <c r="F486" s="3"/>
    </row>
    <row r="487" spans="5:8" ht="15.6" x14ac:dyDescent="0.3">
      <c r="E487" s="49"/>
      <c r="F487" s="3"/>
    </row>
    <row r="488" spans="5:8" ht="15.6" x14ac:dyDescent="0.3">
      <c r="E488" s="49"/>
      <c r="F488" s="3"/>
    </row>
    <row r="489" spans="5:8" ht="15.6" x14ac:dyDescent="0.3">
      <c r="E489" s="49"/>
      <c r="F489" s="3"/>
    </row>
    <row r="490" spans="5:8" ht="15.6" x14ac:dyDescent="0.3">
      <c r="E490" s="49"/>
      <c r="F490" s="3"/>
    </row>
  </sheetData>
  <phoneticPr fontId="1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F765D-465A-4BF7-BD7B-01AF1C75AF15}">
  <sheetPr codeName="Planilha5"/>
  <dimension ref="A1:N63"/>
  <sheetViews>
    <sheetView showGridLines="0" tabSelected="1" zoomScale="70" zoomScaleNormal="70" workbookViewId="0">
      <selection activeCell="M14" sqref="M14"/>
    </sheetView>
  </sheetViews>
  <sheetFormatPr defaultRowHeight="14.4" x14ac:dyDescent="0.3"/>
  <cols>
    <col min="1" max="1" width="1.44140625" style="41" customWidth="1"/>
    <col min="2" max="2" width="5.88671875" style="41" customWidth="1"/>
    <col min="3" max="3" width="29.44140625" style="41" customWidth="1"/>
    <col min="4" max="4" width="27" style="41" customWidth="1"/>
    <col min="5" max="5" width="17.33203125" style="41" bestFit="1" customWidth="1"/>
    <col min="6" max="6" width="16.6640625" style="41" bestFit="1" customWidth="1"/>
    <col min="7" max="7" width="22.88671875" style="41" customWidth="1"/>
    <col min="8" max="8" width="3.88671875" style="54" customWidth="1"/>
    <col min="9" max="9" width="1.77734375" style="41" customWidth="1"/>
    <col min="10" max="10" width="8.77734375" style="41" customWidth="1"/>
    <col min="11" max="11" width="4.77734375" style="41" customWidth="1"/>
    <col min="12" max="12" width="34.6640625" style="41" bestFit="1" customWidth="1"/>
    <col min="13" max="13" width="13.6640625" style="41" bestFit="1" customWidth="1"/>
    <col min="14" max="14" width="4.33203125" style="41" customWidth="1"/>
    <col min="15" max="15" width="1" style="41" customWidth="1"/>
    <col min="16" max="20" width="8.88671875" style="41"/>
    <col min="21" max="22" width="18" style="41" customWidth="1"/>
    <col min="23" max="16384" width="8.88671875" style="41"/>
  </cols>
  <sheetData>
    <row r="1" spans="1:14" ht="8.4" customHeight="1" x14ac:dyDescent="0.3">
      <c r="A1" s="65"/>
      <c r="B1" s="65"/>
      <c r="C1" s="65"/>
      <c r="D1" s="65"/>
      <c r="E1" s="65"/>
      <c r="F1" s="65"/>
      <c r="G1" s="65"/>
      <c r="H1" s="66"/>
      <c r="I1" s="65"/>
    </row>
    <row r="2" spans="1:14" x14ac:dyDescent="0.3">
      <c r="A2" s="65"/>
      <c r="B2" s="15"/>
      <c r="C2" s="15"/>
      <c r="D2" s="15"/>
      <c r="E2" s="15"/>
      <c r="F2" s="15"/>
      <c r="G2" s="15"/>
      <c r="H2" s="48"/>
      <c r="I2" s="65"/>
    </row>
    <row r="3" spans="1:14" ht="18" x14ac:dyDescent="0.35">
      <c r="A3" s="65"/>
      <c r="B3" s="15"/>
      <c r="C3" s="15"/>
      <c r="D3" s="63" t="s">
        <v>27</v>
      </c>
      <c r="E3" s="63" t="s">
        <v>18</v>
      </c>
      <c r="F3" s="15"/>
      <c r="G3" s="15"/>
      <c r="H3" s="48"/>
      <c r="I3" s="65"/>
    </row>
    <row r="4" spans="1:14" ht="18" x14ac:dyDescent="0.35">
      <c r="A4" s="65"/>
      <c r="B4" s="15"/>
      <c r="C4" s="15"/>
      <c r="D4" s="64">
        <v>0.3</v>
      </c>
      <c r="E4" s="64">
        <v>0.8</v>
      </c>
      <c r="F4" s="15"/>
      <c r="G4" s="15"/>
      <c r="H4" s="48"/>
      <c r="I4" s="65"/>
    </row>
    <row r="5" spans="1:14" x14ac:dyDescent="0.3">
      <c r="A5" s="65"/>
      <c r="B5" s="15"/>
      <c r="C5" s="15"/>
      <c r="D5" s="15"/>
      <c r="E5" s="15"/>
      <c r="F5" s="15"/>
      <c r="G5" s="15"/>
      <c r="H5" s="48"/>
      <c r="I5" s="65"/>
    </row>
    <row r="6" spans="1:14" ht="18" x14ac:dyDescent="0.35">
      <c r="A6" s="65"/>
      <c r="B6" s="15"/>
      <c r="C6" s="15"/>
      <c r="D6" s="15"/>
      <c r="E6" s="15"/>
      <c r="F6" s="15"/>
      <c r="G6" s="15"/>
      <c r="H6" s="48"/>
      <c r="I6" s="65"/>
      <c r="K6" s="23" t="s">
        <v>54</v>
      </c>
      <c r="L6" s="24"/>
      <c r="M6" s="46"/>
      <c r="N6" s="46"/>
    </row>
    <row r="7" spans="1:14" ht="23.4" x14ac:dyDescent="0.45">
      <c r="A7" s="65"/>
      <c r="B7" s="15"/>
      <c r="C7" s="84" t="s">
        <v>17</v>
      </c>
      <c r="D7" s="84"/>
      <c r="E7" s="84"/>
      <c r="F7" s="84"/>
      <c r="G7" s="84"/>
      <c r="H7" s="48"/>
      <c r="I7" s="65"/>
      <c r="K7" s="15"/>
      <c r="L7" s="15"/>
      <c r="M7" s="15"/>
      <c r="N7" s="15"/>
    </row>
    <row r="8" spans="1:14" ht="15.6" customHeight="1" x14ac:dyDescent="0.35">
      <c r="A8" s="65"/>
      <c r="B8" s="15"/>
      <c r="C8" s="12" t="s">
        <v>14</v>
      </c>
      <c r="D8" s="12" t="s">
        <v>1</v>
      </c>
      <c r="E8" s="12" t="s">
        <v>2</v>
      </c>
      <c r="F8" s="12" t="s">
        <v>15</v>
      </c>
      <c r="G8" s="12" t="s">
        <v>16</v>
      </c>
      <c r="H8" s="48"/>
      <c r="I8" s="65"/>
      <c r="K8" s="40"/>
      <c r="L8" s="23" t="s">
        <v>59</v>
      </c>
      <c r="M8" s="60" t="s">
        <v>58</v>
      </c>
      <c r="N8" s="15"/>
    </row>
    <row r="9" spans="1:14" ht="15.6" x14ac:dyDescent="0.3">
      <c r="A9" s="65"/>
      <c r="B9" s="15"/>
      <c r="C9" s="8" t="s">
        <v>3</v>
      </c>
      <c r="D9" s="4">
        <f>IFERROR(_xlfn.XLOOKUP(C9,'Lista de produtos'!E:E,'Lista de produtos'!F:F,,)," ")</f>
        <v>30</v>
      </c>
      <c r="E9" s="5">
        <f>IFERROR(_xlfn.XLOOKUP(C9,'Lista de produtos'!E:E,'Lista de produtos'!G:G,,),0)</f>
        <v>20</v>
      </c>
      <c r="F9" s="10">
        <v>3</v>
      </c>
      <c r="G9" s="6">
        <f t="shared" ref="G9:G33" si="0">IFERROR(E9/D9*F9,0)</f>
        <v>2</v>
      </c>
      <c r="H9" s="55"/>
      <c r="I9" s="65"/>
      <c r="K9" s="15"/>
      <c r="L9" s="61" t="s">
        <v>63</v>
      </c>
      <c r="M9" s="61">
        <f>SUM(G9:G58)</f>
        <v>39.940977443609022</v>
      </c>
      <c r="N9" s="15"/>
    </row>
    <row r="10" spans="1:14" ht="15.6" x14ac:dyDescent="0.3">
      <c r="A10" s="65"/>
      <c r="B10" s="15"/>
      <c r="C10" s="8" t="s">
        <v>5</v>
      </c>
      <c r="D10" s="4">
        <f>IFERROR(_xlfn.XLOOKUP(C10,'Lista de produtos'!E:E,'Lista de produtos'!F:F,,)," ")</f>
        <v>1000</v>
      </c>
      <c r="E10" s="5">
        <f>IFERROR(_xlfn.XLOOKUP(C10,'Lista de produtos'!E:E,'Lista de produtos'!G:G,,),0)</f>
        <v>5</v>
      </c>
      <c r="F10" s="10">
        <v>120</v>
      </c>
      <c r="G10" s="6">
        <f t="shared" si="0"/>
        <v>0.6</v>
      </c>
      <c r="H10" s="55"/>
      <c r="I10" s="65"/>
      <c r="K10" s="15"/>
      <c r="L10" s="61" t="s">
        <v>22</v>
      </c>
      <c r="M10" s="61">
        <f>M9*$D$4</f>
        <v>11.982293233082705</v>
      </c>
      <c r="N10" s="15"/>
    </row>
    <row r="11" spans="1:14" ht="15.6" x14ac:dyDescent="0.3">
      <c r="A11" s="65"/>
      <c r="B11" s="15"/>
      <c r="C11" s="8" t="s">
        <v>4</v>
      </c>
      <c r="D11" s="4">
        <f>IFERROR(_xlfn.XLOOKUP(C11,'Lista de produtos'!E:E,'Lista de produtos'!F:F,,)," ")</f>
        <v>1000</v>
      </c>
      <c r="E11" s="5">
        <f>IFERROR(_xlfn.XLOOKUP(C11,'Lista de produtos'!E:E,'Lista de produtos'!G:G,,),0)</f>
        <v>5</v>
      </c>
      <c r="F11" s="10">
        <v>90</v>
      </c>
      <c r="G11" s="6">
        <f t="shared" si="0"/>
        <v>0.45</v>
      </c>
      <c r="H11" s="55"/>
      <c r="I11" s="65"/>
      <c r="K11" s="15"/>
      <c r="L11" s="61" t="s">
        <v>23</v>
      </c>
      <c r="M11" s="61">
        <f>(M9+M10)*$E$4</f>
        <v>41.538616541353385</v>
      </c>
      <c r="N11" s="15"/>
    </row>
    <row r="12" spans="1:14" ht="15.6" x14ac:dyDescent="0.3">
      <c r="A12" s="65"/>
      <c r="B12" s="15"/>
      <c r="C12" s="8" t="s">
        <v>6</v>
      </c>
      <c r="D12" s="4">
        <f>IFERROR(_xlfn.XLOOKUP(C12,'Lista de produtos'!E:E,'Lista de produtos'!F:F,,)," ")</f>
        <v>395</v>
      </c>
      <c r="E12" s="5">
        <f>IFERROR(_xlfn.XLOOKUP(C12,'Lista de produtos'!E:E,'Lista de produtos'!G:G,,),0)</f>
        <v>6</v>
      </c>
      <c r="F12" s="10">
        <v>395</v>
      </c>
      <c r="G12" s="6">
        <f t="shared" si="0"/>
        <v>6</v>
      </c>
      <c r="H12" s="55"/>
      <c r="I12" s="65"/>
      <c r="K12" s="15"/>
      <c r="L12" s="61"/>
      <c r="M12" s="61"/>
      <c r="N12" s="15"/>
    </row>
    <row r="13" spans="1:14" ht="17.399999999999999" customHeight="1" x14ac:dyDescent="0.3">
      <c r="A13" s="65"/>
      <c r="B13" s="15"/>
      <c r="C13" s="8" t="s">
        <v>7</v>
      </c>
      <c r="D13" s="4">
        <f>IFERROR(_xlfn.XLOOKUP(C13,'Lista de produtos'!E:E,'Lista de produtos'!F:F,,)," ")</f>
        <v>200</v>
      </c>
      <c r="E13" s="5">
        <f>IFERROR(_xlfn.XLOOKUP(C13,'Lista de produtos'!E:E,'Lista de produtos'!G:G,,),0)</f>
        <v>3</v>
      </c>
      <c r="F13" s="10">
        <v>200</v>
      </c>
      <c r="G13" s="6">
        <f t="shared" si="0"/>
        <v>3</v>
      </c>
      <c r="H13" s="55"/>
      <c r="I13" s="65"/>
      <c r="K13" s="15"/>
      <c r="L13" s="61" t="s">
        <v>25</v>
      </c>
      <c r="M13" s="61"/>
      <c r="N13" s="15"/>
    </row>
    <row r="14" spans="1:14" ht="15.6" x14ac:dyDescent="0.3">
      <c r="A14" s="65"/>
      <c r="B14" s="15"/>
      <c r="C14" s="8" t="s">
        <v>48</v>
      </c>
      <c r="D14" s="4">
        <f>IFERROR(_xlfn.XLOOKUP(C14,'Lista de produtos'!E:E,'Lista de produtos'!F:F,,)," ")</f>
        <v>380</v>
      </c>
      <c r="E14" s="5">
        <f>IFERROR(_xlfn.XLOOKUP(C14,'Lista de produtos'!E:E,'Lista de produtos'!G:G,,),0)</f>
        <v>22</v>
      </c>
      <c r="F14" s="10">
        <v>45</v>
      </c>
      <c r="G14" s="6">
        <f t="shared" si="0"/>
        <v>2.6052631578947367</v>
      </c>
      <c r="H14" s="55"/>
      <c r="I14" s="65"/>
      <c r="K14" s="15"/>
      <c r="L14" s="61" t="s">
        <v>24</v>
      </c>
      <c r="M14" s="62">
        <v>0.01</v>
      </c>
      <c r="N14" s="15"/>
    </row>
    <row r="15" spans="1:14" ht="15.6" x14ac:dyDescent="0.3">
      <c r="A15" s="65"/>
      <c r="B15" s="15"/>
      <c r="C15" s="8" t="s">
        <v>49</v>
      </c>
      <c r="D15" s="4">
        <f>IFERROR(_xlfn.XLOOKUP(C15,'Lista de produtos'!E:E,'Lista de produtos'!F:F,,)," ")</f>
        <v>350</v>
      </c>
      <c r="E15" s="5">
        <f>IFERROR(_xlfn.XLOOKUP(C15,'Lista de produtos'!E:E,'Lista de produtos'!G:G,,),0)</f>
        <v>50</v>
      </c>
      <c r="F15" s="10">
        <v>100</v>
      </c>
      <c r="G15" s="6">
        <f t="shared" si="0"/>
        <v>14.285714285714285</v>
      </c>
      <c r="H15" s="55"/>
      <c r="I15" s="65"/>
      <c r="K15" s="15"/>
      <c r="L15" s="61" t="s">
        <v>26</v>
      </c>
      <c r="M15" s="62">
        <v>0.01</v>
      </c>
      <c r="N15" s="15"/>
    </row>
    <row r="16" spans="1:14" ht="18" x14ac:dyDescent="0.35">
      <c r="A16" s="65"/>
      <c r="B16" s="15"/>
      <c r="C16" s="86" t="s">
        <v>35</v>
      </c>
      <c r="D16" s="4">
        <f>IFERROR(_xlfn.XLOOKUP(C16,'Lista de produtos'!E:E,'Lista de produtos'!F:F,,)," ")</f>
        <v>1</v>
      </c>
      <c r="E16" s="5">
        <f>IFERROR(_xlfn.XLOOKUP(C16,'Lista de produtos'!E:E,'Lista de produtos'!G:G,,),0)</f>
        <v>4</v>
      </c>
      <c r="F16" s="10">
        <v>1</v>
      </c>
      <c r="G16" s="6">
        <f t="shared" si="0"/>
        <v>4</v>
      </c>
      <c r="H16" s="55"/>
      <c r="I16" s="65"/>
      <c r="K16" s="15"/>
      <c r="L16" s="85" t="s">
        <v>64</v>
      </c>
      <c r="M16" s="59">
        <f>SUM(M9:M10,M13)*(1+M14+M15)</f>
        <v>52.961736090225564</v>
      </c>
      <c r="N16" s="15"/>
    </row>
    <row r="17" spans="1:14" ht="21" x14ac:dyDescent="0.4">
      <c r="A17" s="65"/>
      <c r="B17" s="15"/>
      <c r="C17" s="8" t="s">
        <v>38</v>
      </c>
      <c r="D17" s="4">
        <f>IFERROR(_xlfn.XLOOKUP(C17,'Lista de produtos'!E:E,'Lista de produtos'!F:F,,)," ")</f>
        <v>1</v>
      </c>
      <c r="E17" s="5">
        <f>IFERROR(_xlfn.XLOOKUP(C17,'Lista de produtos'!E:E,'Lista de produtos'!G:G,,),0)</f>
        <v>7</v>
      </c>
      <c r="F17" s="10">
        <v>1</v>
      </c>
      <c r="G17" s="6">
        <f t="shared" si="0"/>
        <v>7</v>
      </c>
      <c r="H17" s="55"/>
      <c r="I17" s="65"/>
      <c r="K17" s="15"/>
      <c r="L17" s="58" t="s">
        <v>28</v>
      </c>
      <c r="M17" s="59">
        <f>SUM(M9:M11,M13)*(1+M14+M15)</f>
        <v>95.331124962406022</v>
      </c>
      <c r="N17" s="15"/>
    </row>
    <row r="18" spans="1:14" ht="15.6" x14ac:dyDescent="0.3">
      <c r="A18" s="65"/>
      <c r="B18" s="15"/>
      <c r="C18" s="8"/>
      <c r="D18" s="4">
        <f>IFERROR(_xlfn.XLOOKUP(C18,'Lista de produtos'!E:E,'Lista de produtos'!F:F,,)," ")</f>
        <v>0</v>
      </c>
      <c r="E18" s="5">
        <f>IFERROR(_xlfn.XLOOKUP(C18,'Lista de produtos'!E:E,'Lista de produtos'!G:G,,),0)</f>
        <v>0</v>
      </c>
      <c r="F18" s="10"/>
      <c r="G18" s="6">
        <f t="shared" si="0"/>
        <v>0</v>
      </c>
      <c r="H18" s="55"/>
      <c r="I18" s="65"/>
      <c r="K18" s="15"/>
      <c r="L18" s="20"/>
      <c r="M18" s="15"/>
      <c r="N18" s="15"/>
    </row>
    <row r="19" spans="1:14" ht="15.6" x14ac:dyDescent="0.3">
      <c r="A19" s="65"/>
      <c r="B19" s="15"/>
      <c r="C19" s="8"/>
      <c r="D19" s="4">
        <f>IFERROR(_xlfn.XLOOKUP(C19,'Lista de produtos'!E:E,'Lista de produtos'!F:F,,)," ")</f>
        <v>0</v>
      </c>
      <c r="E19" s="5">
        <f>IFERROR(_xlfn.XLOOKUP(C19,'Lista de produtos'!E:E,'Lista de produtos'!G:G,,),0)</f>
        <v>0</v>
      </c>
      <c r="F19" s="10"/>
      <c r="G19" s="6">
        <f t="shared" si="0"/>
        <v>0</v>
      </c>
      <c r="H19" s="55"/>
      <c r="I19" s="65"/>
    </row>
    <row r="20" spans="1:14" ht="15.6" x14ac:dyDescent="0.3">
      <c r="A20" s="65"/>
      <c r="B20" s="15"/>
      <c r="C20" s="8"/>
      <c r="D20" s="4">
        <f>IFERROR(_xlfn.XLOOKUP(C20,'Lista de produtos'!E:E,'Lista de produtos'!F:F,,)," ")</f>
        <v>0</v>
      </c>
      <c r="E20" s="5">
        <f>IFERROR(_xlfn.XLOOKUP(C20,'Lista de produtos'!E:E,'Lista de produtos'!G:G,,),0)</f>
        <v>0</v>
      </c>
      <c r="F20" s="10"/>
      <c r="G20" s="6">
        <f t="shared" si="0"/>
        <v>0</v>
      </c>
      <c r="H20" s="55"/>
      <c r="I20" s="65"/>
    </row>
    <row r="21" spans="1:14" ht="16.8" customHeight="1" x14ac:dyDescent="0.3">
      <c r="A21" s="65"/>
      <c r="B21" s="15"/>
      <c r="C21" s="8"/>
      <c r="D21" s="4">
        <f>IFERROR(_xlfn.XLOOKUP(C21,'Lista de produtos'!E:E,'Lista de produtos'!F:F,,)," ")</f>
        <v>0</v>
      </c>
      <c r="E21" s="5">
        <f>IFERROR(_xlfn.XLOOKUP(C21,'Lista de produtos'!E:E,'Lista de produtos'!G:G,,),0)</f>
        <v>0</v>
      </c>
      <c r="F21" s="10"/>
      <c r="G21" s="6">
        <f t="shared" si="0"/>
        <v>0</v>
      </c>
      <c r="H21" s="55"/>
      <c r="I21" s="65"/>
    </row>
    <row r="22" spans="1:14" ht="15.6" x14ac:dyDescent="0.3">
      <c r="A22" s="65"/>
      <c r="B22" s="15"/>
      <c r="C22" s="8"/>
      <c r="D22" s="4">
        <f>IFERROR(_xlfn.XLOOKUP(C22,'Lista de produtos'!E:E,'Lista de produtos'!F:F,,)," ")</f>
        <v>0</v>
      </c>
      <c r="E22" s="5">
        <f>IFERROR(_xlfn.XLOOKUP(C22,'Lista de produtos'!E:E,'Lista de produtos'!G:G,,),0)</f>
        <v>0</v>
      </c>
      <c r="F22" s="10"/>
      <c r="G22" s="6">
        <f t="shared" si="0"/>
        <v>0</v>
      </c>
      <c r="H22" s="55"/>
      <c r="I22" s="65"/>
    </row>
    <row r="23" spans="1:14" ht="15.6" x14ac:dyDescent="0.3">
      <c r="A23" s="65"/>
      <c r="B23" s="15"/>
      <c r="C23" s="8"/>
      <c r="D23" s="4">
        <f>IFERROR(_xlfn.XLOOKUP(C23,'Lista de produtos'!E:E,'Lista de produtos'!F:F,,)," ")</f>
        <v>0</v>
      </c>
      <c r="E23" s="5">
        <f>IFERROR(_xlfn.XLOOKUP(C23,'Lista de produtos'!E:E,'Lista de produtos'!G:G,,),0)</f>
        <v>0</v>
      </c>
      <c r="F23" s="10"/>
      <c r="G23" s="6">
        <f t="shared" si="0"/>
        <v>0</v>
      </c>
      <c r="H23" s="55"/>
      <c r="I23" s="65"/>
    </row>
    <row r="24" spans="1:14" ht="15.6" x14ac:dyDescent="0.3">
      <c r="A24" s="65"/>
      <c r="B24" s="15"/>
      <c r="C24" s="8"/>
      <c r="D24" s="4">
        <f>IFERROR(_xlfn.XLOOKUP(C24,'Lista de produtos'!E:E,'Lista de produtos'!F:F,,)," ")</f>
        <v>0</v>
      </c>
      <c r="E24" s="5">
        <f>IFERROR(_xlfn.XLOOKUP(C24,'Lista de produtos'!E:E,'Lista de produtos'!G:G,,),0)</f>
        <v>0</v>
      </c>
      <c r="F24" s="10"/>
      <c r="G24" s="6">
        <f t="shared" si="0"/>
        <v>0</v>
      </c>
      <c r="H24" s="55"/>
      <c r="I24" s="65"/>
    </row>
    <row r="25" spans="1:14" ht="15.6" x14ac:dyDescent="0.3">
      <c r="A25" s="65"/>
      <c r="B25" s="15"/>
      <c r="C25" s="8"/>
      <c r="D25" s="4">
        <f>IFERROR(_xlfn.XLOOKUP(C25,'Lista de produtos'!E:E,'Lista de produtos'!F:F,,)," ")</f>
        <v>0</v>
      </c>
      <c r="E25" s="5">
        <f>IFERROR(_xlfn.XLOOKUP(C25,'Lista de produtos'!E:E,'Lista de produtos'!G:G,,),0)</f>
        <v>0</v>
      </c>
      <c r="F25" s="10"/>
      <c r="G25" s="6">
        <f t="shared" si="0"/>
        <v>0</v>
      </c>
      <c r="H25" s="55"/>
      <c r="I25" s="67"/>
      <c r="J25" s="51"/>
    </row>
    <row r="26" spans="1:14" ht="15.6" x14ac:dyDescent="0.3">
      <c r="A26" s="65"/>
      <c r="B26" s="15"/>
      <c r="C26" s="8"/>
      <c r="D26" s="4">
        <f>IFERROR(_xlfn.XLOOKUP(C26,'Lista de produtos'!E:E,'Lista de produtos'!F:F,,)," ")</f>
        <v>0</v>
      </c>
      <c r="E26" s="5">
        <f>IFERROR(_xlfn.XLOOKUP(C26,'Lista de produtos'!E:E,'Lista de produtos'!G:G,,),0)</f>
        <v>0</v>
      </c>
      <c r="F26" s="10"/>
      <c r="G26" s="6">
        <f t="shared" si="0"/>
        <v>0</v>
      </c>
      <c r="H26" s="55"/>
      <c r="I26" s="67"/>
      <c r="J26" s="51"/>
    </row>
    <row r="27" spans="1:14" ht="15.6" x14ac:dyDescent="0.3">
      <c r="A27" s="65"/>
      <c r="B27" s="15"/>
      <c r="C27" s="8"/>
      <c r="D27" s="4">
        <f>IFERROR(_xlfn.XLOOKUP(C27,'Lista de produtos'!E:E,'Lista de produtos'!F:F,,)," ")</f>
        <v>0</v>
      </c>
      <c r="E27" s="5">
        <f>IFERROR(_xlfn.XLOOKUP(C27,'Lista de produtos'!E:E,'Lista de produtos'!G:G,,),0)</f>
        <v>0</v>
      </c>
      <c r="F27" s="10"/>
      <c r="G27" s="6">
        <f t="shared" si="0"/>
        <v>0</v>
      </c>
      <c r="H27" s="55"/>
      <c r="I27" s="67"/>
      <c r="J27" s="51"/>
    </row>
    <row r="28" spans="1:14" ht="15.6" x14ac:dyDescent="0.3">
      <c r="A28" s="65"/>
      <c r="B28" s="15"/>
      <c r="C28" s="8"/>
      <c r="D28" s="4">
        <f>IFERROR(_xlfn.XLOOKUP(C28,'Lista de produtos'!E:E,'Lista de produtos'!F:F,,)," ")</f>
        <v>0</v>
      </c>
      <c r="E28" s="5">
        <f>IFERROR(_xlfn.XLOOKUP(C28,'Lista de produtos'!E:E,'Lista de produtos'!G:G,,),0)</f>
        <v>0</v>
      </c>
      <c r="F28" s="10"/>
      <c r="G28" s="6">
        <f t="shared" si="0"/>
        <v>0</v>
      </c>
      <c r="H28" s="55"/>
      <c r="I28" s="67"/>
      <c r="J28" s="51"/>
    </row>
    <row r="29" spans="1:14" ht="15.6" x14ac:dyDescent="0.3">
      <c r="A29" s="65"/>
      <c r="B29" s="15"/>
      <c r="C29" s="8"/>
      <c r="D29" s="4">
        <f>IFERROR(_xlfn.XLOOKUP(C29,'Lista de produtos'!E:E,'Lista de produtos'!F:F,,)," ")</f>
        <v>0</v>
      </c>
      <c r="E29" s="5">
        <f>IFERROR(_xlfn.XLOOKUP(C29,'Lista de produtos'!E:E,'Lista de produtos'!G:G,,),0)</f>
        <v>0</v>
      </c>
      <c r="F29" s="10"/>
      <c r="G29" s="6">
        <f t="shared" si="0"/>
        <v>0</v>
      </c>
      <c r="H29" s="55"/>
      <c r="I29" s="65"/>
    </row>
    <row r="30" spans="1:14" ht="15.6" x14ac:dyDescent="0.3">
      <c r="A30" s="65"/>
      <c r="B30" s="15"/>
      <c r="C30" s="8"/>
      <c r="D30" s="4">
        <f>IFERROR(_xlfn.XLOOKUP(C30,'Lista de produtos'!E:E,'Lista de produtos'!F:F,,)," ")</f>
        <v>0</v>
      </c>
      <c r="E30" s="5">
        <f>IFERROR(_xlfn.XLOOKUP(C30,'Lista de produtos'!E:E,'Lista de produtos'!G:G,,),0)</f>
        <v>0</v>
      </c>
      <c r="F30" s="10"/>
      <c r="G30" s="6">
        <f t="shared" si="0"/>
        <v>0</v>
      </c>
      <c r="H30" s="55"/>
      <c r="I30" s="65"/>
    </row>
    <row r="31" spans="1:14" ht="15.6" x14ac:dyDescent="0.3">
      <c r="A31" s="65"/>
      <c r="B31" s="15"/>
      <c r="C31" s="8"/>
      <c r="D31" s="4">
        <f>IFERROR(_xlfn.XLOOKUP(C31,'Lista de produtos'!E:E,'Lista de produtos'!F:F,,)," ")</f>
        <v>0</v>
      </c>
      <c r="E31" s="5">
        <f>IFERROR(_xlfn.XLOOKUP(C31,'Lista de produtos'!E:E,'Lista de produtos'!G:G,,),0)</f>
        <v>0</v>
      </c>
      <c r="F31" s="10"/>
      <c r="G31" s="6">
        <f t="shared" si="0"/>
        <v>0</v>
      </c>
      <c r="H31" s="55"/>
      <c r="I31" s="65"/>
    </row>
    <row r="32" spans="1:14" ht="15.6" x14ac:dyDescent="0.3">
      <c r="A32" s="65"/>
      <c r="B32" s="15"/>
      <c r="C32" s="8"/>
      <c r="D32" s="4">
        <f>IFERROR(_xlfn.XLOOKUP(C32,'Lista de produtos'!E:E,'Lista de produtos'!F:F,,)," ")</f>
        <v>0</v>
      </c>
      <c r="E32" s="5">
        <f>IFERROR(_xlfn.XLOOKUP(C32,'Lista de produtos'!E:E,'Lista de produtos'!G:G,,),0)</f>
        <v>0</v>
      </c>
      <c r="F32" s="10"/>
      <c r="G32" s="6">
        <f t="shared" si="0"/>
        <v>0</v>
      </c>
      <c r="H32" s="55"/>
      <c r="I32" s="67"/>
      <c r="J32" s="51"/>
    </row>
    <row r="33" spans="1:10" ht="15.6" x14ac:dyDescent="0.3">
      <c r="A33" s="65"/>
      <c r="B33" s="15"/>
      <c r="C33" s="8"/>
      <c r="D33" s="4">
        <f>IFERROR(_xlfn.XLOOKUP(C33,'Lista de produtos'!E:E,'Lista de produtos'!F:F,,)," ")</f>
        <v>0</v>
      </c>
      <c r="E33" s="5">
        <f>IFERROR(_xlfn.XLOOKUP(C33,'Lista de produtos'!E:E,'Lista de produtos'!G:G,,),0)</f>
        <v>0</v>
      </c>
      <c r="F33" s="10"/>
      <c r="G33" s="6">
        <f t="shared" si="0"/>
        <v>0</v>
      </c>
      <c r="H33" s="55"/>
      <c r="I33" s="67"/>
      <c r="J33" s="51"/>
    </row>
    <row r="34" spans="1:10" ht="15.6" x14ac:dyDescent="0.3">
      <c r="A34" s="65"/>
      <c r="B34" s="15"/>
      <c r="C34" s="8"/>
      <c r="D34" s="4">
        <f>IFERROR(_xlfn.XLOOKUP(C34,'Lista de produtos'!E:E,'Lista de produtos'!F:F,,)," ")</f>
        <v>0</v>
      </c>
      <c r="E34" s="5">
        <f>IFERROR(_xlfn.XLOOKUP(C34,'Lista de produtos'!E:E,'Lista de produtos'!G:G,,),0)</f>
        <v>0</v>
      </c>
      <c r="F34" s="10"/>
      <c r="G34" s="6">
        <f>IFERROR(#REF!/D34*F34,0)</f>
        <v>0</v>
      </c>
      <c r="H34" s="55"/>
      <c r="I34" s="67"/>
      <c r="J34" s="51"/>
    </row>
    <row r="35" spans="1:10" ht="15.6" x14ac:dyDescent="0.3">
      <c r="A35" s="65"/>
      <c r="B35" s="15"/>
      <c r="C35" s="8"/>
      <c r="D35" s="4">
        <f>IFERROR(_xlfn.XLOOKUP(C35,'Lista de produtos'!E:E,'Lista de produtos'!F:F,,)," ")</f>
        <v>0</v>
      </c>
      <c r="E35" s="5">
        <f>IFERROR(_xlfn.XLOOKUP(C35,'Lista de produtos'!E:E,'Lista de produtos'!G:G,,),0)</f>
        <v>0</v>
      </c>
      <c r="F35" s="10"/>
      <c r="G35" s="6">
        <f>IFERROR(#REF!/D35*F35,0)</f>
        <v>0</v>
      </c>
      <c r="H35" s="55"/>
      <c r="I35" s="67"/>
      <c r="J35" s="51"/>
    </row>
    <row r="36" spans="1:10" ht="15.6" x14ac:dyDescent="0.3">
      <c r="A36" s="65"/>
      <c r="B36" s="15"/>
      <c r="C36" s="8"/>
      <c r="D36" s="4">
        <f>IFERROR(_xlfn.XLOOKUP(C36,'Lista de produtos'!E:E,'Lista de produtos'!F:F,,)," ")</f>
        <v>0</v>
      </c>
      <c r="E36" s="5">
        <f>IFERROR(_xlfn.XLOOKUP(C36,'Lista de produtos'!E:E,'Lista de produtos'!G:G,,),0)</f>
        <v>0</v>
      </c>
      <c r="F36" s="10"/>
      <c r="G36" s="6">
        <f t="shared" ref="G36:G58" si="1">IFERROR(E36/D36*F36,0)</f>
        <v>0</v>
      </c>
      <c r="H36" s="55"/>
      <c r="I36" s="67"/>
      <c r="J36" s="51"/>
    </row>
    <row r="37" spans="1:10" ht="15.6" x14ac:dyDescent="0.3">
      <c r="A37" s="65"/>
      <c r="B37" s="15"/>
      <c r="C37" s="8"/>
      <c r="D37" s="4">
        <f>IFERROR(_xlfn.XLOOKUP(C37,'Lista de produtos'!E:E,'Lista de produtos'!F:F,,)," ")</f>
        <v>0</v>
      </c>
      <c r="E37" s="5">
        <f>IFERROR(_xlfn.XLOOKUP(C37,'Lista de produtos'!E:E,'Lista de produtos'!G:G,,),0)</f>
        <v>0</v>
      </c>
      <c r="F37" s="10"/>
      <c r="G37" s="6">
        <f t="shared" si="1"/>
        <v>0</v>
      </c>
      <c r="H37" s="55"/>
      <c r="I37" s="67"/>
      <c r="J37" s="51"/>
    </row>
    <row r="38" spans="1:10" ht="15.6" x14ac:dyDescent="0.3">
      <c r="A38" s="65"/>
      <c r="B38" s="15"/>
      <c r="C38" s="8"/>
      <c r="D38" s="4">
        <f>IFERROR(_xlfn.XLOOKUP(C38,'Lista de produtos'!E:E,'Lista de produtos'!F:F,,)," ")</f>
        <v>0</v>
      </c>
      <c r="E38" s="5">
        <f>IFERROR(_xlfn.XLOOKUP(C38,'Lista de produtos'!E:E,'Lista de produtos'!G:G,,),0)</f>
        <v>0</v>
      </c>
      <c r="F38" s="10"/>
      <c r="G38" s="6">
        <f t="shared" si="1"/>
        <v>0</v>
      </c>
      <c r="H38" s="55"/>
      <c r="I38" s="67"/>
      <c r="J38" s="51"/>
    </row>
    <row r="39" spans="1:10" ht="15.6" x14ac:dyDescent="0.3">
      <c r="A39" s="65"/>
      <c r="B39" s="15"/>
      <c r="C39" s="8"/>
      <c r="D39" s="4">
        <f>IFERROR(_xlfn.XLOOKUP(C39,'Lista de produtos'!E:E,'Lista de produtos'!F:F,,)," ")</f>
        <v>0</v>
      </c>
      <c r="E39" s="5">
        <f>IFERROR(_xlfn.XLOOKUP(C39,'Lista de produtos'!E:E,'Lista de produtos'!G:G,,),0)</f>
        <v>0</v>
      </c>
      <c r="F39" s="10"/>
      <c r="G39" s="6">
        <f t="shared" si="1"/>
        <v>0</v>
      </c>
      <c r="H39" s="55"/>
      <c r="I39" s="67"/>
      <c r="J39" s="51"/>
    </row>
    <row r="40" spans="1:10" ht="15.6" x14ac:dyDescent="0.3">
      <c r="A40" s="65"/>
      <c r="B40" s="15"/>
      <c r="C40" s="8"/>
      <c r="D40" s="4">
        <f>IFERROR(_xlfn.XLOOKUP(C40,'Lista de produtos'!E:E,'Lista de produtos'!F:F,,)," ")</f>
        <v>0</v>
      </c>
      <c r="E40" s="5">
        <f>IFERROR(_xlfn.XLOOKUP(C40,'Lista de produtos'!E:E,'Lista de produtos'!G:G,,),0)</f>
        <v>0</v>
      </c>
      <c r="F40" s="10"/>
      <c r="G40" s="6">
        <f t="shared" si="1"/>
        <v>0</v>
      </c>
      <c r="H40" s="55"/>
      <c r="I40" s="67"/>
      <c r="J40" s="51"/>
    </row>
    <row r="41" spans="1:10" ht="15.6" x14ac:dyDescent="0.3">
      <c r="A41" s="65"/>
      <c r="B41" s="15"/>
      <c r="C41" s="8"/>
      <c r="D41" s="4">
        <f>IFERROR(_xlfn.XLOOKUP(C41,'Lista de produtos'!E:E,'Lista de produtos'!F:F,,)," ")</f>
        <v>0</v>
      </c>
      <c r="E41" s="5">
        <f>IFERROR(_xlfn.XLOOKUP(C41,'Lista de produtos'!E:E,'Lista de produtos'!G:G,,),0)</f>
        <v>0</v>
      </c>
      <c r="F41" s="10"/>
      <c r="G41" s="6">
        <f t="shared" si="1"/>
        <v>0</v>
      </c>
      <c r="H41" s="55"/>
      <c r="I41" s="67"/>
      <c r="J41" s="51"/>
    </row>
    <row r="42" spans="1:10" ht="15.6" x14ac:dyDescent="0.3">
      <c r="A42" s="65"/>
      <c r="B42" s="15"/>
      <c r="C42" s="8"/>
      <c r="D42" s="4">
        <f>IFERROR(_xlfn.XLOOKUP(C42,'Lista de produtos'!E:E,'Lista de produtos'!F:F,,)," ")</f>
        <v>0</v>
      </c>
      <c r="E42" s="5">
        <f>IFERROR(_xlfn.XLOOKUP(C42,'Lista de produtos'!E:E,'Lista de produtos'!G:G,,),0)</f>
        <v>0</v>
      </c>
      <c r="F42" s="10"/>
      <c r="G42" s="6">
        <f t="shared" si="1"/>
        <v>0</v>
      </c>
      <c r="H42" s="55"/>
      <c r="I42" s="67"/>
      <c r="J42" s="51"/>
    </row>
    <row r="43" spans="1:10" ht="15.6" x14ac:dyDescent="0.3">
      <c r="A43" s="65"/>
      <c r="B43" s="15"/>
      <c r="C43" s="8"/>
      <c r="D43" s="4">
        <f>IFERROR(_xlfn.XLOOKUP(C43,'Lista de produtos'!E:E,'Lista de produtos'!F:F,,)," ")</f>
        <v>0</v>
      </c>
      <c r="E43" s="5">
        <f>IFERROR(_xlfn.XLOOKUP(C43,'Lista de produtos'!E:E,'Lista de produtos'!G:G,,),0)</f>
        <v>0</v>
      </c>
      <c r="F43" s="10"/>
      <c r="G43" s="6">
        <f t="shared" si="1"/>
        <v>0</v>
      </c>
      <c r="H43" s="55"/>
      <c r="I43" s="67"/>
      <c r="J43" s="51"/>
    </row>
    <row r="44" spans="1:10" ht="15.6" x14ac:dyDescent="0.3">
      <c r="A44" s="65"/>
      <c r="B44" s="15"/>
      <c r="C44" s="8"/>
      <c r="D44" s="4">
        <f>IFERROR(_xlfn.XLOOKUP(C44,'Lista de produtos'!E:E,'Lista de produtos'!F:F,,)," ")</f>
        <v>0</v>
      </c>
      <c r="E44" s="5">
        <f>IFERROR(_xlfn.XLOOKUP(C44,'Lista de produtos'!E:E,'Lista de produtos'!G:G,,),0)</f>
        <v>0</v>
      </c>
      <c r="F44" s="10"/>
      <c r="G44" s="6">
        <f t="shared" si="1"/>
        <v>0</v>
      </c>
      <c r="H44" s="55"/>
      <c r="I44" s="67"/>
      <c r="J44" s="51"/>
    </row>
    <row r="45" spans="1:10" ht="15.6" x14ac:dyDescent="0.3">
      <c r="A45" s="65"/>
      <c r="B45" s="15"/>
      <c r="C45" s="8"/>
      <c r="D45" s="4">
        <f>IFERROR(_xlfn.XLOOKUP(C45,'Lista de produtos'!E:E,'Lista de produtos'!F:F,,)," ")</f>
        <v>0</v>
      </c>
      <c r="E45" s="5">
        <f>IFERROR(_xlfn.XLOOKUP(C45,'Lista de produtos'!E:E,'Lista de produtos'!G:G,,),0)</f>
        <v>0</v>
      </c>
      <c r="F45" s="10"/>
      <c r="G45" s="6">
        <f t="shared" si="1"/>
        <v>0</v>
      </c>
      <c r="H45" s="55"/>
      <c r="I45" s="67"/>
      <c r="J45" s="51"/>
    </row>
    <row r="46" spans="1:10" ht="15.6" x14ac:dyDescent="0.3">
      <c r="A46" s="65"/>
      <c r="B46" s="15"/>
      <c r="C46" s="8"/>
      <c r="D46" s="4">
        <f>IFERROR(_xlfn.XLOOKUP(C46,'Lista de produtos'!E:E,'Lista de produtos'!F:F,,)," ")</f>
        <v>0</v>
      </c>
      <c r="E46" s="5">
        <f>IFERROR(_xlfn.XLOOKUP(C46,'Lista de produtos'!E:E,'Lista de produtos'!G:G,,),0)</f>
        <v>0</v>
      </c>
      <c r="F46" s="10"/>
      <c r="G46" s="6">
        <f t="shared" si="1"/>
        <v>0</v>
      </c>
      <c r="H46" s="55"/>
      <c r="I46" s="67"/>
      <c r="J46" s="51"/>
    </row>
    <row r="47" spans="1:10" ht="15.6" x14ac:dyDescent="0.3">
      <c r="A47" s="65"/>
      <c r="B47" s="15"/>
      <c r="C47" s="8"/>
      <c r="D47" s="4">
        <f>IFERROR(_xlfn.XLOOKUP(C47,'Lista de produtos'!E:E,'Lista de produtos'!F:F,,)," ")</f>
        <v>0</v>
      </c>
      <c r="E47" s="5">
        <f>IFERROR(_xlfn.XLOOKUP(C47,'Lista de produtos'!E:E,'Lista de produtos'!G:G,,),0)</f>
        <v>0</v>
      </c>
      <c r="F47" s="10"/>
      <c r="G47" s="6">
        <f t="shared" si="1"/>
        <v>0</v>
      </c>
      <c r="H47" s="55"/>
      <c r="I47" s="67"/>
      <c r="J47" s="51"/>
    </row>
    <row r="48" spans="1:10" ht="15.6" x14ac:dyDescent="0.3">
      <c r="A48" s="65"/>
      <c r="B48" s="15"/>
      <c r="C48" s="8"/>
      <c r="D48" s="4">
        <f>IFERROR(_xlfn.XLOOKUP(C48,'Lista de produtos'!E:E,'Lista de produtos'!F:F,,)," ")</f>
        <v>0</v>
      </c>
      <c r="E48" s="5">
        <f>IFERROR(_xlfn.XLOOKUP(C48,'Lista de produtos'!E:E,'Lista de produtos'!G:G,,),0)</f>
        <v>0</v>
      </c>
      <c r="F48" s="10"/>
      <c r="G48" s="6">
        <f t="shared" si="1"/>
        <v>0</v>
      </c>
      <c r="H48" s="55"/>
      <c r="I48" s="67"/>
      <c r="J48" s="51"/>
    </row>
    <row r="49" spans="1:10" ht="15.6" x14ac:dyDescent="0.3">
      <c r="A49" s="65"/>
      <c r="B49" s="15"/>
      <c r="C49" s="8"/>
      <c r="D49" s="4">
        <f>IFERROR(_xlfn.XLOOKUP(C49,'Lista de produtos'!E:E,'Lista de produtos'!F:F,,)," ")</f>
        <v>0</v>
      </c>
      <c r="E49" s="5">
        <f>IFERROR(_xlfn.XLOOKUP(C49,'Lista de produtos'!E:E,'Lista de produtos'!G:G,,),0)</f>
        <v>0</v>
      </c>
      <c r="F49" s="10"/>
      <c r="G49" s="6">
        <f t="shared" si="1"/>
        <v>0</v>
      </c>
      <c r="H49" s="55"/>
      <c r="I49" s="67"/>
      <c r="J49" s="51"/>
    </row>
    <row r="50" spans="1:10" ht="15.6" x14ac:dyDescent="0.3">
      <c r="A50" s="65"/>
      <c r="B50" s="15"/>
      <c r="C50" s="8"/>
      <c r="D50" s="4">
        <f>IFERROR(_xlfn.XLOOKUP(C50,'Lista de produtos'!E:E,'Lista de produtos'!F:F,,)," ")</f>
        <v>0</v>
      </c>
      <c r="E50" s="5">
        <f>IFERROR(_xlfn.XLOOKUP(C50,'Lista de produtos'!E:E,'Lista de produtos'!G:G,,),0)</f>
        <v>0</v>
      </c>
      <c r="F50" s="10"/>
      <c r="G50" s="6">
        <f t="shared" si="1"/>
        <v>0</v>
      </c>
      <c r="H50" s="55"/>
      <c r="I50" s="67"/>
      <c r="J50" s="51"/>
    </row>
    <row r="51" spans="1:10" ht="15.6" x14ac:dyDescent="0.3">
      <c r="A51" s="65"/>
      <c r="B51" s="15"/>
      <c r="C51" s="8"/>
      <c r="D51" s="4">
        <f>IFERROR(_xlfn.XLOOKUP(C51,'Lista de produtos'!E:E,'Lista de produtos'!F:F,,)," ")</f>
        <v>0</v>
      </c>
      <c r="E51" s="5">
        <f>IFERROR(_xlfn.XLOOKUP(C51,'Lista de produtos'!E:E,'Lista de produtos'!G:G,,),0)</f>
        <v>0</v>
      </c>
      <c r="F51" s="10"/>
      <c r="G51" s="6">
        <f t="shared" si="1"/>
        <v>0</v>
      </c>
      <c r="H51" s="55"/>
      <c r="I51" s="67"/>
      <c r="J51" s="51"/>
    </row>
    <row r="52" spans="1:10" ht="15.6" x14ac:dyDescent="0.3">
      <c r="A52" s="65"/>
      <c r="B52" s="15"/>
      <c r="C52" s="8"/>
      <c r="D52" s="4">
        <f>IFERROR(_xlfn.XLOOKUP(C52,'Lista de produtos'!E:E,'Lista de produtos'!F:F,,)," ")</f>
        <v>0</v>
      </c>
      <c r="E52" s="5">
        <f>IFERROR(_xlfn.XLOOKUP(C52,'Lista de produtos'!E:E,'Lista de produtos'!G:G,,),0)</f>
        <v>0</v>
      </c>
      <c r="F52" s="10"/>
      <c r="G52" s="6">
        <f t="shared" si="1"/>
        <v>0</v>
      </c>
      <c r="H52" s="55"/>
      <c r="I52" s="67"/>
      <c r="J52" s="51"/>
    </row>
    <row r="53" spans="1:10" ht="15.6" x14ac:dyDescent="0.3">
      <c r="A53" s="65"/>
      <c r="B53" s="15"/>
      <c r="C53" s="8"/>
      <c r="D53" s="4">
        <f>IFERROR(_xlfn.XLOOKUP(C53,'Lista de produtos'!E:E,'Lista de produtos'!F:F,,)," ")</f>
        <v>0</v>
      </c>
      <c r="E53" s="5">
        <f>IFERROR(_xlfn.XLOOKUP(C53,'Lista de produtos'!E:E,'Lista de produtos'!G:G,,),0)</f>
        <v>0</v>
      </c>
      <c r="F53" s="10"/>
      <c r="G53" s="6">
        <f t="shared" si="1"/>
        <v>0</v>
      </c>
      <c r="H53" s="55"/>
      <c r="I53" s="67"/>
      <c r="J53" s="51"/>
    </row>
    <row r="54" spans="1:10" ht="15.6" x14ac:dyDescent="0.3">
      <c r="A54" s="65"/>
      <c r="B54" s="15"/>
      <c r="C54" s="8"/>
      <c r="D54" s="4">
        <f>IFERROR(_xlfn.XLOOKUP(C54,'Lista de produtos'!E:E,'Lista de produtos'!F:F,,)," ")</f>
        <v>0</v>
      </c>
      <c r="E54" s="5">
        <f>IFERROR(_xlfn.XLOOKUP(C54,'Lista de produtos'!E:E,'Lista de produtos'!G:G,,),0)</f>
        <v>0</v>
      </c>
      <c r="F54" s="10"/>
      <c r="G54" s="6">
        <f t="shared" si="1"/>
        <v>0</v>
      </c>
      <c r="H54" s="55"/>
      <c r="I54" s="67"/>
      <c r="J54" s="51"/>
    </row>
    <row r="55" spans="1:10" ht="15.6" x14ac:dyDescent="0.3">
      <c r="A55" s="65"/>
      <c r="B55" s="15"/>
      <c r="C55" s="8"/>
      <c r="D55" s="4">
        <f>IFERROR(_xlfn.XLOOKUP(C55,'Lista de produtos'!E:E,'Lista de produtos'!F:F,,)," ")</f>
        <v>0</v>
      </c>
      <c r="E55" s="5">
        <f>IFERROR(_xlfn.XLOOKUP(C55,'Lista de produtos'!E:E,'Lista de produtos'!G:G,,),0)</f>
        <v>0</v>
      </c>
      <c r="F55" s="10"/>
      <c r="G55" s="6">
        <f t="shared" si="1"/>
        <v>0</v>
      </c>
      <c r="H55" s="55"/>
      <c r="I55" s="67"/>
      <c r="J55" s="51"/>
    </row>
    <row r="56" spans="1:10" ht="15.6" x14ac:dyDescent="0.3">
      <c r="A56" s="65"/>
      <c r="B56" s="15"/>
      <c r="C56" s="8"/>
      <c r="D56" s="4">
        <f>IFERROR(_xlfn.XLOOKUP(C56,'Lista de produtos'!E:E,'Lista de produtos'!F:F,,)," ")</f>
        <v>0</v>
      </c>
      <c r="E56" s="5">
        <f>IFERROR(_xlfn.XLOOKUP(C56,'Lista de produtos'!E:E,'Lista de produtos'!G:G,,),0)</f>
        <v>0</v>
      </c>
      <c r="F56" s="10"/>
      <c r="G56" s="6">
        <f t="shared" si="1"/>
        <v>0</v>
      </c>
      <c r="H56" s="55"/>
      <c r="I56" s="67"/>
      <c r="J56" s="51"/>
    </row>
    <row r="57" spans="1:10" ht="15.6" x14ac:dyDescent="0.3">
      <c r="A57" s="65"/>
      <c r="B57" s="15"/>
      <c r="C57" s="9"/>
      <c r="D57" s="4">
        <f>IFERROR(_xlfn.XLOOKUP(C57,'Lista de produtos'!E:E,'Lista de produtos'!F:F,,)," ")</f>
        <v>0</v>
      </c>
      <c r="E57" s="5">
        <f>IFERROR(_xlfn.XLOOKUP(C57,'Lista de produtos'!E:E,'Lista de produtos'!G:G,,),0)</f>
        <v>0</v>
      </c>
      <c r="F57" s="11"/>
      <c r="G57" s="7">
        <f t="shared" si="1"/>
        <v>0</v>
      </c>
      <c r="H57" s="55"/>
      <c r="I57" s="67"/>
      <c r="J57" s="51"/>
    </row>
    <row r="58" spans="1:10" ht="15.6" x14ac:dyDescent="0.3">
      <c r="A58" s="65"/>
      <c r="B58" s="15"/>
      <c r="C58" s="8"/>
      <c r="D58" s="4">
        <f>IFERROR(_xlfn.XLOOKUP(C58,'Lista de produtos'!E:E,'Lista de produtos'!F:F,,)," ")</f>
        <v>0</v>
      </c>
      <c r="E58" s="5">
        <f>IFERROR(_xlfn.XLOOKUP(C58,'Lista de produtos'!E:E,'Lista de produtos'!G:G,,),0)</f>
        <v>0</v>
      </c>
      <c r="F58" s="10"/>
      <c r="G58" s="6">
        <f t="shared" si="1"/>
        <v>0</v>
      </c>
      <c r="H58" s="55"/>
      <c r="I58" s="67"/>
      <c r="J58" s="51"/>
    </row>
    <row r="59" spans="1:10" ht="15.6" x14ac:dyDescent="0.3">
      <c r="A59" s="65"/>
      <c r="B59" s="15"/>
      <c r="C59" s="15"/>
      <c r="D59" s="15"/>
      <c r="E59" s="15"/>
      <c r="F59" s="15"/>
      <c r="G59" s="15"/>
      <c r="H59" s="48"/>
      <c r="I59" s="67"/>
      <c r="J59" s="51"/>
    </row>
    <row r="60" spans="1:10" ht="9.6" customHeight="1" x14ac:dyDescent="0.3">
      <c r="A60" s="65"/>
      <c r="B60" s="65"/>
      <c r="C60" s="65"/>
      <c r="D60" s="69"/>
      <c r="E60" s="70"/>
      <c r="F60" s="71"/>
      <c r="G60" s="68"/>
      <c r="H60" s="72"/>
      <c r="I60" s="67"/>
      <c r="J60" s="51"/>
    </row>
    <row r="61" spans="1:10" ht="15.6" x14ac:dyDescent="0.3">
      <c r="I61" s="51"/>
      <c r="J61" s="51"/>
    </row>
    <row r="63" spans="1:10" x14ac:dyDescent="0.3">
      <c r="I63" s="52"/>
      <c r="J63" s="52"/>
    </row>
  </sheetData>
  <autoFilter ref="C8:G8" xr:uid="{6C669FB6-F7B7-44FA-8CDB-DC5661242CF3}">
    <sortState xmlns:xlrd2="http://schemas.microsoft.com/office/spreadsheetml/2017/richdata2" ref="C9:G58">
      <sortCondition ref="C8"/>
    </sortState>
  </autoFilter>
  <mergeCells count="1">
    <mergeCell ref="C7:G7"/>
  </mergeCells>
  <dataValidations count="2">
    <dataValidation type="list" allowBlank="1" showInputMessage="1" showErrorMessage="1" sqref="D4:E4" xr:uid="{48A8ED35-337C-4D5E-A883-82FCF626212A}">
      <mc:AlternateContent xmlns:x12ac="http://schemas.microsoft.com/office/spreadsheetml/2011/1/ac" xmlns:mc="http://schemas.openxmlformats.org/markup-compatibility/2006">
        <mc:Choice Requires="x12ac">
          <x12ac:list>"0,1","0,2","0,3","0,4","0,5","0,6","0,7","0,8","0,9","1,0"</x12ac:list>
        </mc:Choice>
        <mc:Fallback>
          <formula1>"0,1,0,2,0,3,0,4,0,5,0,6,0,7,0,8,0,9,1,0"</formula1>
        </mc:Fallback>
      </mc:AlternateContent>
    </dataValidation>
    <dataValidation type="list" allowBlank="1" showInputMessage="1" showErrorMessage="1" sqref="M14:M15" xr:uid="{6DC21BE0-4410-432D-870A-DA2B5459973E}">
      <mc:AlternateContent xmlns:x12ac="http://schemas.microsoft.com/office/spreadsheetml/2011/1/ac" xmlns:mc="http://schemas.openxmlformats.org/markup-compatibility/2006">
        <mc:Choice Requires="x12ac">
          <x12ac:list>"0,0","0,01","0,02","0,03","0,04","0,05","0,06","0,07","0,08","0,09"</x12ac:list>
        </mc:Choice>
        <mc:Fallback>
          <formula1>"0,0,0,01,0,02,0,03,0,04,0,05,0,06,0,07,0,08,0,09"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05CAB-5642-4099-9A2E-D9C145CFCD1D}">
  <sheetPr codeName="Planilha4"/>
  <dimension ref="A1:N63"/>
  <sheetViews>
    <sheetView showGridLines="0" zoomScale="85" zoomScaleNormal="85" workbookViewId="0">
      <selection activeCell="L16" sqref="L16:M16"/>
    </sheetView>
  </sheetViews>
  <sheetFormatPr defaultRowHeight="14.4" x14ac:dyDescent="0.3"/>
  <cols>
    <col min="1" max="1" width="1.77734375" style="41" customWidth="1"/>
    <col min="2" max="2" width="6.44140625" style="41" customWidth="1"/>
    <col min="3" max="3" width="29.44140625" style="41" customWidth="1"/>
    <col min="4" max="4" width="27" style="41" bestFit="1" customWidth="1"/>
    <col min="5" max="5" width="18.77734375" style="41" customWidth="1"/>
    <col min="6" max="6" width="21.109375" style="41" bestFit="1" customWidth="1"/>
    <col min="7" max="7" width="14.109375" style="41" bestFit="1" customWidth="1"/>
    <col min="8" max="8" width="4.33203125" style="41" customWidth="1"/>
    <col min="9" max="9" width="1.6640625" style="41" customWidth="1"/>
    <col min="10" max="10" width="8.109375" style="41" customWidth="1"/>
    <col min="11" max="11" width="6.5546875" style="41" customWidth="1"/>
    <col min="12" max="12" width="34.6640625" style="41" customWidth="1"/>
    <col min="13" max="13" width="14.109375" style="41" customWidth="1"/>
    <col min="14" max="14" width="7" style="41" customWidth="1"/>
    <col min="15" max="20" width="8.88671875" style="41"/>
    <col min="21" max="22" width="18" style="41" customWidth="1"/>
    <col min="23" max="16384" width="8.88671875" style="41"/>
  </cols>
  <sheetData>
    <row r="1" spans="1:14" ht="7.8" customHeight="1" x14ac:dyDescent="0.3">
      <c r="A1" s="65"/>
      <c r="B1" s="65"/>
      <c r="C1" s="65"/>
      <c r="D1" s="65"/>
      <c r="E1" s="65"/>
      <c r="F1" s="65"/>
      <c r="G1" s="65"/>
      <c r="H1" s="65"/>
      <c r="I1" s="65"/>
    </row>
    <row r="2" spans="1:14" x14ac:dyDescent="0.3">
      <c r="A2" s="65"/>
      <c r="B2" s="15"/>
      <c r="C2" s="15"/>
      <c r="D2" s="15"/>
      <c r="E2" s="15"/>
      <c r="F2" s="15"/>
      <c r="G2" s="15"/>
      <c r="H2" s="15"/>
      <c r="I2" s="65"/>
    </row>
    <row r="3" spans="1:14" x14ac:dyDescent="0.3">
      <c r="A3" s="65"/>
      <c r="B3" s="15"/>
      <c r="C3" s="15"/>
      <c r="D3" s="13" t="s">
        <v>27</v>
      </c>
      <c r="E3" s="13" t="s">
        <v>18</v>
      </c>
      <c r="F3" s="15"/>
      <c r="G3" s="15"/>
      <c r="H3" s="15"/>
      <c r="I3" s="65"/>
    </row>
    <row r="4" spans="1:14" x14ac:dyDescent="0.3">
      <c r="A4" s="65"/>
      <c r="B4" s="15"/>
      <c r="C4" s="15"/>
      <c r="D4" s="14">
        <v>0.3</v>
      </c>
      <c r="E4" s="14">
        <v>0.4</v>
      </c>
      <c r="F4" s="15"/>
      <c r="G4" s="15"/>
      <c r="H4" s="15"/>
      <c r="I4" s="65"/>
    </row>
    <row r="5" spans="1:14" x14ac:dyDescent="0.3">
      <c r="A5" s="65"/>
      <c r="B5" s="15"/>
      <c r="C5" s="15"/>
      <c r="D5" s="15"/>
      <c r="E5" s="15"/>
      <c r="F5" s="15"/>
      <c r="G5" s="15"/>
      <c r="H5" s="15"/>
      <c r="I5" s="65"/>
    </row>
    <row r="6" spans="1:14" ht="21" x14ac:dyDescent="0.3">
      <c r="A6" s="65"/>
      <c r="B6" s="15"/>
      <c r="C6" s="15"/>
      <c r="D6" s="15"/>
      <c r="E6" s="15"/>
      <c r="F6" s="15"/>
      <c r="G6" s="15"/>
      <c r="H6" s="15"/>
      <c r="I6" s="65"/>
      <c r="K6" s="25" t="s">
        <v>54</v>
      </c>
      <c r="L6" s="26"/>
      <c r="M6" s="46"/>
      <c r="N6" s="46"/>
    </row>
    <row r="7" spans="1:14" ht="23.4" x14ac:dyDescent="0.45">
      <c r="A7" s="65"/>
      <c r="B7" s="15"/>
      <c r="C7" s="84" t="s">
        <v>17</v>
      </c>
      <c r="D7" s="84"/>
      <c r="E7" s="84"/>
      <c r="F7" s="84"/>
      <c r="G7" s="84"/>
      <c r="H7" s="16"/>
      <c r="I7" s="73"/>
      <c r="K7" s="55"/>
      <c r="L7" s="77"/>
      <c r="M7" s="48"/>
      <c r="N7" s="48"/>
    </row>
    <row r="8" spans="1:14" ht="15.6" customHeight="1" x14ac:dyDescent="0.3">
      <c r="A8" s="65"/>
      <c r="B8" s="15"/>
      <c r="C8" s="12" t="s">
        <v>14</v>
      </c>
      <c r="D8" s="12" t="s">
        <v>1</v>
      </c>
      <c r="E8" s="12" t="s">
        <v>2</v>
      </c>
      <c r="F8" s="12" t="s">
        <v>15</v>
      </c>
      <c r="G8" s="12" t="s">
        <v>16</v>
      </c>
      <c r="H8" s="17"/>
      <c r="I8" s="74"/>
      <c r="K8" s="15"/>
      <c r="L8" s="27" t="s">
        <v>19</v>
      </c>
      <c r="M8" s="28" t="s">
        <v>20</v>
      </c>
      <c r="N8" s="15"/>
    </row>
    <row r="9" spans="1:14" ht="15.6" x14ac:dyDescent="0.3">
      <c r="A9" s="65"/>
      <c r="B9" s="15"/>
      <c r="C9" s="8" t="s">
        <v>4</v>
      </c>
      <c r="D9" s="4">
        <f>IFERROR(_xlfn.XLOOKUP(C9,'Lista de produtos'!E:E,'Lista de produtos'!F:F,,)," ")</f>
        <v>1000</v>
      </c>
      <c r="E9" s="5">
        <f>IFERROR(_xlfn.XLOOKUP(C9,'Lista de produtos'!E:E,'Lista de produtos'!G:G,,),0)</f>
        <v>5</v>
      </c>
      <c r="F9" s="10">
        <v>200</v>
      </c>
      <c r="G9" s="6">
        <f t="shared" ref="G9:G33" si="0">IFERROR(E9/D9*F9,0)</f>
        <v>1</v>
      </c>
      <c r="H9" s="18"/>
      <c r="I9" s="67"/>
      <c r="K9" s="15"/>
      <c r="L9" s="61" t="s">
        <v>21</v>
      </c>
      <c r="M9" s="61">
        <f>SUM(G9:G58)</f>
        <v>83.779486199676398</v>
      </c>
      <c r="N9" s="15"/>
    </row>
    <row r="10" spans="1:14" ht="15.6" x14ac:dyDescent="0.3">
      <c r="A10" s="65"/>
      <c r="B10" s="15"/>
      <c r="C10" s="8" t="s">
        <v>34</v>
      </c>
      <c r="D10" s="4">
        <f>IFERROR(_xlfn.XLOOKUP(C10,'Lista de produtos'!E:E,'Lista de produtos'!F:F,,)," ")</f>
        <v>1</v>
      </c>
      <c r="E10" s="5">
        <f>IFERROR(_xlfn.XLOOKUP(C10,'Lista de produtos'!E:E,'Lista de produtos'!G:G,,),0)</f>
        <v>5.5</v>
      </c>
      <c r="F10" s="10">
        <v>1</v>
      </c>
      <c r="G10" s="6">
        <f t="shared" si="0"/>
        <v>5.5</v>
      </c>
      <c r="H10" s="18"/>
      <c r="I10" s="67"/>
      <c r="K10" s="15"/>
      <c r="L10" s="61" t="s">
        <v>22</v>
      </c>
      <c r="M10" s="61">
        <f>M9*$D$4</f>
        <v>25.13384585990292</v>
      </c>
      <c r="N10" s="15"/>
    </row>
    <row r="11" spans="1:14" ht="15.6" x14ac:dyDescent="0.3">
      <c r="A11" s="65"/>
      <c r="B11" s="15"/>
      <c r="C11" s="8" t="s">
        <v>60</v>
      </c>
      <c r="D11" s="4">
        <f>IFERROR(_xlfn.XLOOKUP(C11,'Lista de produtos'!E:E,'Lista de produtos'!F:F,,)," ")</f>
        <v>1</v>
      </c>
      <c r="E11" s="5">
        <f>IFERROR(_xlfn.XLOOKUP(C11,'Lista de produtos'!E:E,'Lista de produtos'!G:G,,),0)</f>
        <v>8</v>
      </c>
      <c r="F11" s="10">
        <v>1</v>
      </c>
      <c r="G11" s="6">
        <f t="shared" si="0"/>
        <v>8</v>
      </c>
      <c r="H11" s="18"/>
      <c r="I11" s="67"/>
      <c r="K11" s="15"/>
      <c r="L11" s="61" t="s">
        <v>23</v>
      </c>
      <c r="M11" s="61">
        <f>(M9+M10)*$E$4</f>
        <v>43.565332823831731</v>
      </c>
      <c r="N11" s="15"/>
    </row>
    <row r="12" spans="1:14" ht="15.6" x14ac:dyDescent="0.3">
      <c r="A12" s="65"/>
      <c r="B12" s="15"/>
      <c r="C12" s="8" t="s">
        <v>11</v>
      </c>
      <c r="D12" s="4">
        <f>IFERROR(_xlfn.XLOOKUP(C12,'Lista de produtos'!E:E,'Lista de produtos'!F:F,,)," ")</f>
        <v>1000</v>
      </c>
      <c r="E12" s="5">
        <f>IFERROR(_xlfn.XLOOKUP(C12,'Lista de produtos'!E:E,'Lista de produtos'!G:G,,),0)</f>
        <v>20.888999999999999</v>
      </c>
      <c r="F12" s="10">
        <v>500</v>
      </c>
      <c r="G12" s="6">
        <f t="shared" si="0"/>
        <v>10.4445</v>
      </c>
      <c r="H12" s="18"/>
      <c r="I12" s="67"/>
      <c r="K12" s="15"/>
      <c r="L12" s="61"/>
      <c r="M12" s="61"/>
      <c r="N12" s="15"/>
    </row>
    <row r="13" spans="1:14" ht="17.399999999999999" customHeight="1" x14ac:dyDescent="0.3">
      <c r="A13" s="65"/>
      <c r="B13" s="15"/>
      <c r="C13" s="8" t="s">
        <v>48</v>
      </c>
      <c r="D13" s="4">
        <f>IFERROR(_xlfn.XLOOKUP(C13,'Lista de produtos'!E:E,'Lista de produtos'!F:F,,)," ")</f>
        <v>380</v>
      </c>
      <c r="E13" s="5">
        <f>IFERROR(_xlfn.XLOOKUP(C13,'Lista de produtos'!E:E,'Lista de produtos'!G:G,,),0)</f>
        <v>22</v>
      </c>
      <c r="F13" s="10">
        <v>60</v>
      </c>
      <c r="G13" s="6">
        <f t="shared" si="0"/>
        <v>3.4736842105263159</v>
      </c>
      <c r="H13" s="18"/>
      <c r="I13" s="67"/>
      <c r="K13" s="15"/>
      <c r="L13" s="61" t="s">
        <v>25</v>
      </c>
      <c r="M13" s="61"/>
      <c r="N13" s="15"/>
    </row>
    <row r="14" spans="1:14" ht="15.6" x14ac:dyDescent="0.3">
      <c r="A14" s="65"/>
      <c r="B14" s="15"/>
      <c r="C14" s="8" t="s">
        <v>7</v>
      </c>
      <c r="D14" s="4">
        <f>IFERROR(_xlfn.XLOOKUP(C14,'Lista de produtos'!E:E,'Lista de produtos'!F:F,,)," ")</f>
        <v>200</v>
      </c>
      <c r="E14" s="5">
        <f>IFERROR(_xlfn.XLOOKUP(C14,'Lista de produtos'!E:E,'Lista de produtos'!G:G,,),0)</f>
        <v>3</v>
      </c>
      <c r="F14" s="10">
        <v>400</v>
      </c>
      <c r="G14" s="6">
        <f t="shared" si="0"/>
        <v>6</v>
      </c>
      <c r="H14" s="18"/>
      <c r="I14" s="67"/>
      <c r="K14" s="15"/>
      <c r="L14" s="61" t="s">
        <v>24</v>
      </c>
      <c r="M14" s="62">
        <v>0.01</v>
      </c>
      <c r="N14" s="15"/>
    </row>
    <row r="15" spans="1:14" ht="15.6" x14ac:dyDescent="0.3">
      <c r="A15" s="65"/>
      <c r="B15" s="15"/>
      <c r="C15" s="8" t="s">
        <v>5</v>
      </c>
      <c r="D15" s="4">
        <f>IFERROR(_xlfn.XLOOKUP(C15,'Lista de produtos'!E:E,'Lista de produtos'!F:F,,)," ")</f>
        <v>1000</v>
      </c>
      <c r="E15" s="5">
        <f>IFERROR(_xlfn.XLOOKUP(C15,'Lista de produtos'!E:E,'Lista de produtos'!G:G,,),0)</f>
        <v>5</v>
      </c>
      <c r="F15" s="10">
        <v>120</v>
      </c>
      <c r="G15" s="6">
        <f t="shared" si="0"/>
        <v>0.6</v>
      </c>
      <c r="H15" s="18"/>
      <c r="I15" s="67"/>
      <c r="K15" s="15"/>
      <c r="L15" s="61" t="s">
        <v>26</v>
      </c>
      <c r="M15" s="62">
        <v>0</v>
      </c>
      <c r="N15" s="15"/>
    </row>
    <row r="16" spans="1:14" ht="18" x14ac:dyDescent="0.35">
      <c r="A16" s="65"/>
      <c r="B16" s="15"/>
      <c r="C16" s="8" t="s">
        <v>6</v>
      </c>
      <c r="D16" s="4">
        <f>IFERROR(_xlfn.XLOOKUP(C16,'Lista de produtos'!E:E,'Lista de produtos'!F:F,,)," ")</f>
        <v>395</v>
      </c>
      <c r="E16" s="5">
        <f>IFERROR(_xlfn.XLOOKUP(C16,'Lista de produtos'!E:E,'Lista de produtos'!G:G,,),0)</f>
        <v>6</v>
      </c>
      <c r="F16" s="10">
        <v>1000</v>
      </c>
      <c r="G16" s="6">
        <f t="shared" si="0"/>
        <v>15.189873417721518</v>
      </c>
      <c r="H16" s="18"/>
      <c r="I16" s="67"/>
      <c r="K16" s="15"/>
      <c r="L16" s="85" t="s">
        <v>64</v>
      </c>
      <c r="M16" s="59">
        <f>SUM(M9:M10,M13)*(1+M14+M15)</f>
        <v>110.00246538017511</v>
      </c>
      <c r="N16" s="15"/>
    </row>
    <row r="17" spans="1:14" ht="21" x14ac:dyDescent="0.4">
      <c r="A17" s="65"/>
      <c r="B17" s="15"/>
      <c r="C17" s="8" t="s">
        <v>3</v>
      </c>
      <c r="D17" s="4">
        <f>IFERROR(_xlfn.XLOOKUP(C17,'Lista de produtos'!E:E,'Lista de produtos'!F:F,,)," ")</f>
        <v>30</v>
      </c>
      <c r="E17" s="5">
        <f>IFERROR(_xlfn.XLOOKUP(C17,'Lista de produtos'!E:E,'Lista de produtos'!G:G,,),0)</f>
        <v>20</v>
      </c>
      <c r="F17" s="10">
        <v>6</v>
      </c>
      <c r="G17" s="6">
        <f t="shared" si="0"/>
        <v>4</v>
      </c>
      <c r="H17" s="18"/>
      <c r="I17" s="67"/>
      <c r="K17" s="15"/>
      <c r="L17" s="29" t="s">
        <v>28</v>
      </c>
      <c r="M17" s="30">
        <f>SUM(M9:M11,M13)*(1+M14+M15)</f>
        <v>154.00345153224518</v>
      </c>
      <c r="N17" s="15"/>
    </row>
    <row r="18" spans="1:14" ht="15.6" x14ac:dyDescent="0.3">
      <c r="A18" s="65"/>
      <c r="B18" s="15"/>
      <c r="C18" s="8" t="s">
        <v>10</v>
      </c>
      <c r="D18" s="4">
        <f>IFERROR(_xlfn.XLOOKUP(C18,'Lista de produtos'!E:E,'Lista de produtos'!F:F,,)," ")</f>
        <v>1</v>
      </c>
      <c r="E18" s="5">
        <f>IFERROR(_xlfn.XLOOKUP(C18,'Lista de produtos'!E:E,'Lista de produtos'!G:G,,),0)</f>
        <v>35</v>
      </c>
      <c r="F18" s="10">
        <v>0</v>
      </c>
      <c r="G18" s="6">
        <f t="shared" si="0"/>
        <v>0</v>
      </c>
      <c r="H18" s="18"/>
      <c r="I18" s="67"/>
      <c r="K18" s="15"/>
      <c r="L18" s="15"/>
      <c r="M18" s="15"/>
      <c r="N18" s="15"/>
    </row>
    <row r="19" spans="1:14" ht="15.6" x14ac:dyDescent="0.3">
      <c r="A19" s="65"/>
      <c r="B19" s="15"/>
      <c r="C19" s="8" t="s">
        <v>49</v>
      </c>
      <c r="D19" s="4">
        <f>IFERROR(_xlfn.XLOOKUP(C19,'Lista de produtos'!E:E,'Lista de produtos'!F:F,,)," ")</f>
        <v>350</v>
      </c>
      <c r="E19" s="5">
        <f>IFERROR(_xlfn.XLOOKUP(C19,'Lista de produtos'!E:E,'Lista de produtos'!G:G,,),0)</f>
        <v>50</v>
      </c>
      <c r="F19" s="10">
        <v>200</v>
      </c>
      <c r="G19" s="6">
        <f t="shared" si="0"/>
        <v>28.571428571428569</v>
      </c>
      <c r="H19" s="18"/>
      <c r="I19" s="67"/>
    </row>
    <row r="20" spans="1:14" ht="15.6" x14ac:dyDescent="0.3">
      <c r="A20" s="65"/>
      <c r="B20" s="15"/>
      <c r="C20" s="8" t="s">
        <v>46</v>
      </c>
      <c r="D20" s="4">
        <f>IFERROR(_xlfn.XLOOKUP(C20,'Lista de produtos'!E:E,'Lista de produtos'!F:F,,)," ")</f>
        <v>1000</v>
      </c>
      <c r="E20" s="5">
        <f>IFERROR(_xlfn.XLOOKUP(C20,'Lista de produtos'!E:E,'Lista de produtos'!G:G,,),0)</f>
        <v>5</v>
      </c>
      <c r="F20" s="10">
        <v>200</v>
      </c>
      <c r="G20" s="6">
        <f t="shared" si="0"/>
        <v>1</v>
      </c>
      <c r="H20" s="18"/>
      <c r="I20" s="67"/>
    </row>
    <row r="21" spans="1:14" ht="15.6" x14ac:dyDescent="0.3">
      <c r="A21" s="65"/>
      <c r="B21" s="15"/>
      <c r="C21" s="8"/>
      <c r="D21" s="4">
        <f>IFERROR(_xlfn.XLOOKUP(C21,'Lista de produtos'!E:E,'Lista de produtos'!F:F,,)," ")</f>
        <v>0</v>
      </c>
      <c r="E21" s="5">
        <f>IFERROR(_xlfn.XLOOKUP(C21,'Lista de produtos'!E:E,'Lista de produtos'!G:G,,),0)</f>
        <v>0</v>
      </c>
      <c r="F21" s="10"/>
      <c r="G21" s="6">
        <f t="shared" si="0"/>
        <v>0</v>
      </c>
      <c r="H21" s="18"/>
      <c r="I21" s="67"/>
    </row>
    <row r="22" spans="1:14" ht="15.6" x14ac:dyDescent="0.3">
      <c r="A22" s="65"/>
      <c r="B22" s="15"/>
      <c r="C22" s="8"/>
      <c r="D22" s="4">
        <f>IFERROR(_xlfn.XLOOKUP(C22,'Lista de produtos'!E:E,'Lista de produtos'!F:F,,)," ")</f>
        <v>0</v>
      </c>
      <c r="E22" s="5">
        <f>IFERROR(_xlfn.XLOOKUP(C22,'Lista de produtos'!E:E,'Lista de produtos'!G:G,,),0)</f>
        <v>0</v>
      </c>
      <c r="F22" s="10"/>
      <c r="G22" s="6">
        <f t="shared" si="0"/>
        <v>0</v>
      </c>
      <c r="H22" s="18"/>
      <c r="I22" s="67"/>
    </row>
    <row r="23" spans="1:14" ht="15.6" x14ac:dyDescent="0.3">
      <c r="A23" s="65"/>
      <c r="B23" s="15"/>
      <c r="C23" s="8"/>
      <c r="D23" s="4">
        <f>IFERROR(_xlfn.XLOOKUP(C23,'Lista de produtos'!E:E,'Lista de produtos'!F:F,,)," ")</f>
        <v>0</v>
      </c>
      <c r="E23" s="5">
        <f>IFERROR(_xlfn.XLOOKUP(C23,'Lista de produtos'!E:E,'Lista de produtos'!G:G,,),0)</f>
        <v>0</v>
      </c>
      <c r="F23" s="10"/>
      <c r="G23" s="6">
        <f t="shared" si="0"/>
        <v>0</v>
      </c>
      <c r="H23" s="18"/>
      <c r="I23" s="67"/>
    </row>
    <row r="24" spans="1:14" ht="15.6" x14ac:dyDescent="0.3">
      <c r="A24" s="65"/>
      <c r="B24" s="15"/>
      <c r="C24" s="8"/>
      <c r="D24" s="4">
        <f>IFERROR(_xlfn.XLOOKUP(C24,'Lista de produtos'!E:E,'Lista de produtos'!F:F,,)," ")</f>
        <v>0</v>
      </c>
      <c r="E24" s="5">
        <f>IFERROR(_xlfn.XLOOKUP(C24,'Lista de produtos'!E:E,'Lista de produtos'!G:G,,),0)</f>
        <v>0</v>
      </c>
      <c r="F24" s="10"/>
      <c r="G24" s="6">
        <f t="shared" si="0"/>
        <v>0</v>
      </c>
      <c r="H24" s="18"/>
      <c r="I24" s="67"/>
      <c r="J24" s="51"/>
    </row>
    <row r="25" spans="1:14" ht="15.6" x14ac:dyDescent="0.3">
      <c r="A25" s="65"/>
      <c r="B25" s="15"/>
      <c r="C25" s="8"/>
      <c r="D25" s="4">
        <f>IFERROR(_xlfn.XLOOKUP(C25,'Lista de produtos'!E:E,'Lista de produtos'!F:F,,)," ")</f>
        <v>0</v>
      </c>
      <c r="E25" s="5">
        <f>IFERROR(_xlfn.XLOOKUP(C25,'Lista de produtos'!E:E,'Lista de produtos'!G:G,,),0)</f>
        <v>0</v>
      </c>
      <c r="F25" s="10"/>
      <c r="G25" s="6">
        <f t="shared" si="0"/>
        <v>0</v>
      </c>
      <c r="H25" s="18"/>
      <c r="I25" s="67"/>
      <c r="J25" s="51"/>
      <c r="K25" s="75"/>
      <c r="L25" s="53"/>
    </row>
    <row r="26" spans="1:14" ht="15.6" x14ac:dyDescent="0.3">
      <c r="A26" s="65"/>
      <c r="B26" s="15"/>
      <c r="C26" s="8"/>
      <c r="D26" s="4">
        <f>IFERROR(_xlfn.XLOOKUP(C26,'Lista de produtos'!E:E,'Lista de produtos'!F:F,,)," ")</f>
        <v>0</v>
      </c>
      <c r="E26" s="5">
        <f>IFERROR(_xlfn.XLOOKUP(C26,'Lista de produtos'!E:E,'Lista de produtos'!G:G,,),0)</f>
        <v>0</v>
      </c>
      <c r="F26" s="10"/>
      <c r="G26" s="6">
        <f t="shared" si="0"/>
        <v>0</v>
      </c>
      <c r="H26" s="18"/>
      <c r="I26" s="67"/>
      <c r="J26" s="51"/>
    </row>
    <row r="27" spans="1:14" ht="15.6" x14ac:dyDescent="0.3">
      <c r="A27" s="65"/>
      <c r="B27" s="15"/>
      <c r="C27" s="8"/>
      <c r="D27" s="4">
        <f>IFERROR(_xlfn.XLOOKUP(C27,'Lista de produtos'!E:E,'Lista de produtos'!F:F,,)," ")</f>
        <v>0</v>
      </c>
      <c r="E27" s="5">
        <f>IFERROR(_xlfn.XLOOKUP(C27,'Lista de produtos'!E:E,'Lista de produtos'!G:G,,),0)</f>
        <v>0</v>
      </c>
      <c r="F27" s="10"/>
      <c r="G27" s="6">
        <f t="shared" si="0"/>
        <v>0</v>
      </c>
      <c r="H27" s="18"/>
      <c r="I27" s="67"/>
      <c r="J27" s="51"/>
    </row>
    <row r="28" spans="1:14" ht="15.6" x14ac:dyDescent="0.3">
      <c r="A28" s="65"/>
      <c r="B28" s="15"/>
      <c r="C28" s="8"/>
      <c r="D28" s="4">
        <f>IFERROR(_xlfn.XLOOKUP(C28,'Lista de produtos'!E:E,'Lista de produtos'!F:F,,)," ")</f>
        <v>0</v>
      </c>
      <c r="E28" s="5">
        <f>IFERROR(_xlfn.XLOOKUP(C28,'Lista de produtos'!E:E,'Lista de produtos'!G:G,,),0)</f>
        <v>0</v>
      </c>
      <c r="F28" s="10"/>
      <c r="G28" s="6">
        <f t="shared" si="0"/>
        <v>0</v>
      </c>
      <c r="H28" s="18"/>
      <c r="I28" s="67"/>
      <c r="J28" s="51"/>
    </row>
    <row r="29" spans="1:14" ht="15.6" x14ac:dyDescent="0.3">
      <c r="A29" s="65"/>
      <c r="B29" s="15"/>
      <c r="C29" s="8"/>
      <c r="D29" s="4">
        <f>IFERROR(_xlfn.XLOOKUP(C29,'Lista de produtos'!E:E,'Lista de produtos'!F:F,,)," ")</f>
        <v>0</v>
      </c>
      <c r="E29" s="5">
        <f>IFERROR(_xlfn.XLOOKUP(C29,'Lista de produtos'!E:E,'Lista de produtos'!G:G,,),0)</f>
        <v>0</v>
      </c>
      <c r="F29" s="10"/>
      <c r="G29" s="6">
        <f t="shared" si="0"/>
        <v>0</v>
      </c>
      <c r="H29" s="18"/>
      <c r="I29" s="67"/>
      <c r="J29" s="51"/>
    </row>
    <row r="30" spans="1:14" ht="15.6" x14ac:dyDescent="0.3">
      <c r="A30" s="65"/>
      <c r="B30" s="15"/>
      <c r="C30" s="8"/>
      <c r="D30" s="4">
        <f>IFERROR(_xlfn.XLOOKUP(C30,'Lista de produtos'!E:E,'Lista de produtos'!F:F,,)," ")</f>
        <v>0</v>
      </c>
      <c r="E30" s="5">
        <f>IFERROR(_xlfn.XLOOKUP(C30,'Lista de produtos'!E:E,'Lista de produtos'!G:G,,),0)</f>
        <v>0</v>
      </c>
      <c r="F30" s="10"/>
      <c r="G30" s="6">
        <f t="shared" si="0"/>
        <v>0</v>
      </c>
      <c r="H30" s="18"/>
      <c r="I30" s="67"/>
      <c r="J30" s="51"/>
    </row>
    <row r="31" spans="1:14" ht="15.6" x14ac:dyDescent="0.3">
      <c r="A31" s="65"/>
      <c r="B31" s="15"/>
      <c r="C31" s="8"/>
      <c r="D31" s="4">
        <f>IFERROR(_xlfn.XLOOKUP(C31,'Lista de produtos'!E:E,'Lista de produtos'!F:F,,)," ")</f>
        <v>0</v>
      </c>
      <c r="E31" s="5">
        <f>IFERROR(_xlfn.XLOOKUP(C31,'Lista de produtos'!E:E,'Lista de produtos'!G:G,,),0)</f>
        <v>0</v>
      </c>
      <c r="F31" s="10"/>
      <c r="G31" s="6">
        <f t="shared" si="0"/>
        <v>0</v>
      </c>
      <c r="H31" s="18"/>
      <c r="I31" s="67"/>
      <c r="J31" s="51"/>
    </row>
    <row r="32" spans="1:14" ht="15.6" x14ac:dyDescent="0.3">
      <c r="A32" s="65"/>
      <c r="B32" s="15"/>
      <c r="C32" s="8"/>
      <c r="D32" s="4">
        <f>IFERROR(_xlfn.XLOOKUP(C32,'Lista de produtos'!E:E,'Lista de produtos'!F:F,,)," ")</f>
        <v>0</v>
      </c>
      <c r="E32" s="5">
        <f>IFERROR(_xlfn.XLOOKUP(C32,'Lista de produtos'!E:E,'Lista de produtos'!G:G,,),0)</f>
        <v>0</v>
      </c>
      <c r="F32" s="10"/>
      <c r="G32" s="6">
        <f t="shared" si="0"/>
        <v>0</v>
      </c>
      <c r="H32" s="18"/>
      <c r="I32" s="67"/>
      <c r="J32" s="51"/>
    </row>
    <row r="33" spans="1:10" ht="15.6" x14ac:dyDescent="0.3">
      <c r="A33" s="65"/>
      <c r="B33" s="15"/>
      <c r="C33" s="8"/>
      <c r="D33" s="4">
        <f>IFERROR(_xlfn.XLOOKUP(C33,'Lista de produtos'!E:E,'Lista de produtos'!F:F,,)," ")</f>
        <v>0</v>
      </c>
      <c r="E33" s="5">
        <f>IFERROR(_xlfn.XLOOKUP(C33,'Lista de produtos'!E:E,'Lista de produtos'!G:G,,),0)</f>
        <v>0</v>
      </c>
      <c r="F33" s="10"/>
      <c r="G33" s="6">
        <f t="shared" si="0"/>
        <v>0</v>
      </c>
      <c r="H33" s="18"/>
      <c r="I33" s="67"/>
      <c r="J33" s="51"/>
    </row>
    <row r="34" spans="1:10" ht="15.6" x14ac:dyDescent="0.3">
      <c r="A34" s="65"/>
      <c r="B34" s="15"/>
      <c r="C34" s="8"/>
      <c r="D34" s="4">
        <f>IFERROR(_xlfn.XLOOKUP(C34,'Lista de produtos'!E:E,'Lista de produtos'!F:F,,)," ")</f>
        <v>0</v>
      </c>
      <c r="E34" s="5">
        <f>IFERROR(_xlfn.XLOOKUP(C34,'Lista de produtos'!E:E,'Lista de produtos'!G:G,,),0)</f>
        <v>0</v>
      </c>
      <c r="F34" s="10"/>
      <c r="G34" s="6">
        <f>IFERROR(#REF!/D34*F34,0)</f>
        <v>0</v>
      </c>
      <c r="H34" s="18"/>
      <c r="I34" s="67"/>
      <c r="J34" s="51"/>
    </row>
    <row r="35" spans="1:10" ht="15.6" x14ac:dyDescent="0.3">
      <c r="A35" s="65"/>
      <c r="B35" s="15"/>
      <c r="C35" s="8"/>
      <c r="D35" s="4">
        <f>IFERROR(_xlfn.XLOOKUP(C35,'Lista de produtos'!E:E,'Lista de produtos'!F:F,,)," ")</f>
        <v>0</v>
      </c>
      <c r="E35" s="5">
        <f>IFERROR(_xlfn.XLOOKUP(C35,'Lista de produtos'!E:E,'Lista de produtos'!G:G,,),0)</f>
        <v>0</v>
      </c>
      <c r="F35" s="10"/>
      <c r="G35" s="6">
        <f>IFERROR(#REF!/D35*F35,0)</f>
        <v>0</v>
      </c>
      <c r="H35" s="18"/>
      <c r="I35" s="67"/>
      <c r="J35" s="51"/>
    </row>
    <row r="36" spans="1:10" ht="15.6" x14ac:dyDescent="0.3">
      <c r="A36" s="65"/>
      <c r="B36" s="15"/>
      <c r="C36" s="8"/>
      <c r="D36" s="4">
        <f>IFERROR(_xlfn.XLOOKUP(C36,'Lista de produtos'!E:E,'Lista de produtos'!F:F,,)," ")</f>
        <v>0</v>
      </c>
      <c r="E36" s="5">
        <f>IFERROR(_xlfn.XLOOKUP(C36,'Lista de produtos'!E:E,'Lista de produtos'!G:G,,),0)</f>
        <v>0</v>
      </c>
      <c r="F36" s="10"/>
      <c r="G36" s="6">
        <f t="shared" ref="G36:G58" si="1">IFERROR(E36/D36*F36,0)</f>
        <v>0</v>
      </c>
      <c r="H36" s="18"/>
      <c r="I36" s="67"/>
      <c r="J36" s="51"/>
    </row>
    <row r="37" spans="1:10" ht="15.6" x14ac:dyDescent="0.3">
      <c r="A37" s="65"/>
      <c r="B37" s="15"/>
      <c r="C37" s="8"/>
      <c r="D37" s="4">
        <f>IFERROR(_xlfn.XLOOKUP(C37,'Lista de produtos'!E:E,'Lista de produtos'!F:F,,)," ")</f>
        <v>0</v>
      </c>
      <c r="E37" s="5">
        <f>IFERROR(_xlfn.XLOOKUP(C37,'Lista de produtos'!E:E,'Lista de produtos'!G:G,,),0)</f>
        <v>0</v>
      </c>
      <c r="F37" s="10"/>
      <c r="G37" s="6">
        <f t="shared" si="1"/>
        <v>0</v>
      </c>
      <c r="H37" s="18"/>
      <c r="I37" s="67"/>
      <c r="J37" s="51"/>
    </row>
    <row r="38" spans="1:10" ht="15.6" x14ac:dyDescent="0.3">
      <c r="A38" s="65"/>
      <c r="B38" s="15"/>
      <c r="C38" s="8"/>
      <c r="D38" s="4">
        <f>IFERROR(_xlfn.XLOOKUP(C38,'Lista de produtos'!E:E,'Lista de produtos'!F:F,,)," ")</f>
        <v>0</v>
      </c>
      <c r="E38" s="5">
        <f>IFERROR(_xlfn.XLOOKUP(C38,'Lista de produtos'!E:E,'Lista de produtos'!G:G,,),0)</f>
        <v>0</v>
      </c>
      <c r="F38" s="10"/>
      <c r="G38" s="6">
        <f t="shared" si="1"/>
        <v>0</v>
      </c>
      <c r="H38" s="18"/>
      <c r="I38" s="67"/>
      <c r="J38" s="51"/>
    </row>
    <row r="39" spans="1:10" ht="15.6" x14ac:dyDescent="0.3">
      <c r="A39" s="65"/>
      <c r="B39" s="15"/>
      <c r="C39" s="8"/>
      <c r="D39" s="4">
        <f>IFERROR(_xlfn.XLOOKUP(C39,'Lista de produtos'!E:E,'Lista de produtos'!F:F,,)," ")</f>
        <v>0</v>
      </c>
      <c r="E39" s="5">
        <f>IFERROR(_xlfn.XLOOKUP(C39,'Lista de produtos'!E:E,'Lista de produtos'!G:G,,),0)</f>
        <v>0</v>
      </c>
      <c r="F39" s="10"/>
      <c r="G39" s="6">
        <f t="shared" si="1"/>
        <v>0</v>
      </c>
      <c r="H39" s="18"/>
      <c r="I39" s="67"/>
      <c r="J39" s="51"/>
    </row>
    <row r="40" spans="1:10" ht="15.6" x14ac:dyDescent="0.3">
      <c r="A40" s="65"/>
      <c r="B40" s="15"/>
      <c r="C40" s="8"/>
      <c r="D40" s="4">
        <f>IFERROR(_xlfn.XLOOKUP(C40,'Lista de produtos'!E:E,'Lista de produtos'!F:F,,)," ")</f>
        <v>0</v>
      </c>
      <c r="E40" s="5">
        <f>IFERROR(_xlfn.XLOOKUP(C40,'Lista de produtos'!E:E,'Lista de produtos'!G:G,,),0)</f>
        <v>0</v>
      </c>
      <c r="F40" s="10"/>
      <c r="G40" s="6">
        <f t="shared" si="1"/>
        <v>0</v>
      </c>
      <c r="H40" s="18"/>
      <c r="I40" s="67"/>
      <c r="J40" s="51"/>
    </row>
    <row r="41" spans="1:10" ht="15.6" x14ac:dyDescent="0.3">
      <c r="A41" s="65"/>
      <c r="B41" s="15"/>
      <c r="C41" s="8"/>
      <c r="D41" s="4">
        <f>IFERROR(_xlfn.XLOOKUP(C41,'Lista de produtos'!E:E,'Lista de produtos'!F:F,,)," ")</f>
        <v>0</v>
      </c>
      <c r="E41" s="5">
        <f>IFERROR(_xlfn.XLOOKUP(C41,'Lista de produtos'!E:E,'Lista de produtos'!G:G,,),0)</f>
        <v>0</v>
      </c>
      <c r="F41" s="10"/>
      <c r="G41" s="6">
        <f t="shared" si="1"/>
        <v>0</v>
      </c>
      <c r="H41" s="18"/>
      <c r="I41" s="67"/>
      <c r="J41" s="51"/>
    </row>
    <row r="42" spans="1:10" ht="15.6" x14ac:dyDescent="0.3">
      <c r="A42" s="65"/>
      <c r="B42" s="15"/>
      <c r="C42" s="8"/>
      <c r="D42" s="4">
        <f>IFERROR(_xlfn.XLOOKUP(C42,'Lista de produtos'!E:E,'Lista de produtos'!F:F,,)," ")</f>
        <v>0</v>
      </c>
      <c r="E42" s="5">
        <f>IFERROR(_xlfn.XLOOKUP(C42,'Lista de produtos'!E:E,'Lista de produtos'!G:G,,),0)</f>
        <v>0</v>
      </c>
      <c r="F42" s="10"/>
      <c r="G42" s="6">
        <f t="shared" si="1"/>
        <v>0</v>
      </c>
      <c r="H42" s="18"/>
      <c r="I42" s="67"/>
      <c r="J42" s="51"/>
    </row>
    <row r="43" spans="1:10" ht="15.6" x14ac:dyDescent="0.3">
      <c r="A43" s="65"/>
      <c r="B43" s="15"/>
      <c r="C43" s="8"/>
      <c r="D43" s="4">
        <f>IFERROR(_xlfn.XLOOKUP(C43,'Lista de produtos'!E:E,'Lista de produtos'!F:F,,)," ")</f>
        <v>0</v>
      </c>
      <c r="E43" s="5">
        <f>IFERROR(_xlfn.XLOOKUP(C43,'Lista de produtos'!E:E,'Lista de produtos'!G:G,,),0)</f>
        <v>0</v>
      </c>
      <c r="F43" s="10"/>
      <c r="G43" s="6">
        <f t="shared" si="1"/>
        <v>0</v>
      </c>
      <c r="H43" s="18"/>
      <c r="I43" s="67"/>
      <c r="J43" s="51"/>
    </row>
    <row r="44" spans="1:10" ht="15.6" x14ac:dyDescent="0.3">
      <c r="A44" s="65"/>
      <c r="B44" s="15"/>
      <c r="C44" s="8"/>
      <c r="D44" s="4">
        <f>IFERROR(_xlfn.XLOOKUP(C44,'Lista de produtos'!E:E,'Lista de produtos'!F:F,,)," ")</f>
        <v>0</v>
      </c>
      <c r="E44" s="5">
        <f>IFERROR(_xlfn.XLOOKUP(C44,'Lista de produtos'!E:E,'Lista de produtos'!G:G,,),0)</f>
        <v>0</v>
      </c>
      <c r="F44" s="10"/>
      <c r="G44" s="6">
        <f t="shared" si="1"/>
        <v>0</v>
      </c>
      <c r="H44" s="18"/>
      <c r="I44" s="67"/>
      <c r="J44" s="51"/>
    </row>
    <row r="45" spans="1:10" ht="15.6" x14ac:dyDescent="0.3">
      <c r="A45" s="65"/>
      <c r="B45" s="15"/>
      <c r="C45" s="8"/>
      <c r="D45" s="4">
        <f>IFERROR(_xlfn.XLOOKUP(C45,'Lista de produtos'!E:E,'Lista de produtos'!F:F,,)," ")</f>
        <v>0</v>
      </c>
      <c r="E45" s="5">
        <f>IFERROR(_xlfn.XLOOKUP(C45,'Lista de produtos'!E:E,'Lista de produtos'!G:G,,),0)</f>
        <v>0</v>
      </c>
      <c r="F45" s="10"/>
      <c r="G45" s="6">
        <f t="shared" si="1"/>
        <v>0</v>
      </c>
      <c r="H45" s="18"/>
      <c r="I45" s="67"/>
      <c r="J45" s="51"/>
    </row>
    <row r="46" spans="1:10" ht="15.6" x14ac:dyDescent="0.3">
      <c r="A46" s="65"/>
      <c r="B46" s="15"/>
      <c r="C46" s="8"/>
      <c r="D46" s="4">
        <f>IFERROR(_xlfn.XLOOKUP(C46,'Lista de produtos'!E:E,'Lista de produtos'!F:F,,)," ")</f>
        <v>0</v>
      </c>
      <c r="E46" s="5">
        <f>IFERROR(_xlfn.XLOOKUP(C46,'Lista de produtos'!E:E,'Lista de produtos'!G:G,,),0)</f>
        <v>0</v>
      </c>
      <c r="F46" s="10"/>
      <c r="G46" s="6">
        <f t="shared" si="1"/>
        <v>0</v>
      </c>
      <c r="H46" s="18"/>
      <c r="I46" s="67"/>
      <c r="J46" s="51"/>
    </row>
    <row r="47" spans="1:10" ht="15.6" x14ac:dyDescent="0.3">
      <c r="A47" s="65"/>
      <c r="B47" s="15"/>
      <c r="C47" s="8"/>
      <c r="D47" s="4">
        <f>IFERROR(_xlfn.XLOOKUP(C47,'Lista de produtos'!E:E,'Lista de produtos'!F:F,,)," ")</f>
        <v>0</v>
      </c>
      <c r="E47" s="5">
        <f>IFERROR(_xlfn.XLOOKUP(C47,'Lista de produtos'!E:E,'Lista de produtos'!G:G,,),0)</f>
        <v>0</v>
      </c>
      <c r="F47" s="10"/>
      <c r="G47" s="6">
        <f t="shared" si="1"/>
        <v>0</v>
      </c>
      <c r="H47" s="18"/>
      <c r="I47" s="67"/>
      <c r="J47" s="51"/>
    </row>
    <row r="48" spans="1:10" ht="15.6" x14ac:dyDescent="0.3">
      <c r="A48" s="65"/>
      <c r="B48" s="15"/>
      <c r="C48" s="8"/>
      <c r="D48" s="4">
        <f>IFERROR(_xlfn.XLOOKUP(C48,'Lista de produtos'!E:E,'Lista de produtos'!F:F,,)," ")</f>
        <v>0</v>
      </c>
      <c r="E48" s="5">
        <f>IFERROR(_xlfn.XLOOKUP(C48,'Lista de produtos'!E:E,'Lista de produtos'!G:G,,),0)</f>
        <v>0</v>
      </c>
      <c r="F48" s="10"/>
      <c r="G48" s="6">
        <f t="shared" si="1"/>
        <v>0</v>
      </c>
      <c r="H48" s="18"/>
      <c r="I48" s="67"/>
      <c r="J48" s="51"/>
    </row>
    <row r="49" spans="1:10" ht="15.6" x14ac:dyDescent="0.3">
      <c r="A49" s="65"/>
      <c r="B49" s="15"/>
      <c r="C49" s="8"/>
      <c r="D49" s="4">
        <f>IFERROR(_xlfn.XLOOKUP(C49,'Lista de produtos'!E:E,'Lista de produtos'!F:F,,)," ")</f>
        <v>0</v>
      </c>
      <c r="E49" s="5">
        <f>IFERROR(_xlfn.XLOOKUP(C49,'Lista de produtos'!E:E,'Lista de produtos'!G:G,,),0)</f>
        <v>0</v>
      </c>
      <c r="F49" s="10"/>
      <c r="G49" s="6">
        <f t="shared" si="1"/>
        <v>0</v>
      </c>
      <c r="H49" s="18"/>
      <c r="I49" s="67"/>
      <c r="J49" s="51"/>
    </row>
    <row r="50" spans="1:10" ht="15.6" x14ac:dyDescent="0.3">
      <c r="A50" s="65"/>
      <c r="B50" s="15"/>
      <c r="C50" s="8"/>
      <c r="D50" s="4">
        <f>IFERROR(_xlfn.XLOOKUP(C50,'Lista de produtos'!E:E,'Lista de produtos'!F:F,,)," ")</f>
        <v>0</v>
      </c>
      <c r="E50" s="5">
        <f>IFERROR(_xlfn.XLOOKUP(C50,'Lista de produtos'!E:E,'Lista de produtos'!G:G,,),0)</f>
        <v>0</v>
      </c>
      <c r="F50" s="10"/>
      <c r="G50" s="6">
        <f t="shared" si="1"/>
        <v>0</v>
      </c>
      <c r="H50" s="18"/>
      <c r="I50" s="67"/>
      <c r="J50" s="51"/>
    </row>
    <row r="51" spans="1:10" ht="15.6" x14ac:dyDescent="0.3">
      <c r="A51" s="65"/>
      <c r="B51" s="15"/>
      <c r="C51" s="8"/>
      <c r="D51" s="4">
        <f>IFERROR(_xlfn.XLOOKUP(C51,'Lista de produtos'!E:E,'Lista de produtos'!F:F,,)," ")</f>
        <v>0</v>
      </c>
      <c r="E51" s="5">
        <f>IFERROR(_xlfn.XLOOKUP(C51,'Lista de produtos'!E:E,'Lista de produtos'!G:G,,),0)</f>
        <v>0</v>
      </c>
      <c r="F51" s="10"/>
      <c r="G51" s="6">
        <f t="shared" si="1"/>
        <v>0</v>
      </c>
      <c r="H51" s="18"/>
      <c r="I51" s="67"/>
      <c r="J51" s="51"/>
    </row>
    <row r="52" spans="1:10" ht="15.6" x14ac:dyDescent="0.3">
      <c r="A52" s="65"/>
      <c r="B52" s="15"/>
      <c r="C52" s="8"/>
      <c r="D52" s="4">
        <f>IFERROR(_xlfn.XLOOKUP(C52,'Lista de produtos'!E:E,'Lista de produtos'!F:F,,)," ")</f>
        <v>0</v>
      </c>
      <c r="E52" s="5">
        <f>IFERROR(_xlfn.XLOOKUP(C52,'Lista de produtos'!E:E,'Lista de produtos'!G:G,,),0)</f>
        <v>0</v>
      </c>
      <c r="F52" s="10"/>
      <c r="G52" s="6">
        <f t="shared" si="1"/>
        <v>0</v>
      </c>
      <c r="H52" s="18"/>
      <c r="I52" s="67"/>
      <c r="J52" s="51"/>
    </row>
    <row r="53" spans="1:10" ht="15.6" x14ac:dyDescent="0.3">
      <c r="A53" s="65"/>
      <c r="B53" s="15"/>
      <c r="C53" s="8"/>
      <c r="D53" s="4">
        <f>IFERROR(_xlfn.XLOOKUP(C53,'Lista de produtos'!E:E,'Lista de produtos'!F:F,,)," ")</f>
        <v>0</v>
      </c>
      <c r="E53" s="5">
        <f>IFERROR(_xlfn.XLOOKUP(C53,'Lista de produtos'!E:E,'Lista de produtos'!G:G,,),0)</f>
        <v>0</v>
      </c>
      <c r="F53" s="10"/>
      <c r="G53" s="6">
        <f t="shared" si="1"/>
        <v>0</v>
      </c>
      <c r="H53" s="18"/>
      <c r="I53" s="67"/>
      <c r="J53" s="51"/>
    </row>
    <row r="54" spans="1:10" ht="15.6" x14ac:dyDescent="0.3">
      <c r="A54" s="65"/>
      <c r="B54" s="15"/>
      <c r="C54" s="8"/>
      <c r="D54" s="4">
        <f>IFERROR(_xlfn.XLOOKUP(C54,'Lista de produtos'!E:E,'Lista de produtos'!F:F,,)," ")</f>
        <v>0</v>
      </c>
      <c r="E54" s="5">
        <f>IFERROR(_xlfn.XLOOKUP(C54,'Lista de produtos'!E:E,'Lista de produtos'!G:G,,),0)</f>
        <v>0</v>
      </c>
      <c r="F54" s="10"/>
      <c r="G54" s="6">
        <f t="shared" si="1"/>
        <v>0</v>
      </c>
      <c r="H54" s="18"/>
      <c r="I54" s="67"/>
      <c r="J54" s="51"/>
    </row>
    <row r="55" spans="1:10" ht="15.6" x14ac:dyDescent="0.3">
      <c r="A55" s="65"/>
      <c r="B55" s="15"/>
      <c r="C55" s="8"/>
      <c r="D55" s="4">
        <f>IFERROR(_xlfn.XLOOKUP(C55,'Lista de produtos'!E:E,'Lista de produtos'!F:F,,)," ")</f>
        <v>0</v>
      </c>
      <c r="E55" s="5">
        <f>IFERROR(_xlfn.XLOOKUP(C55,'Lista de produtos'!E:E,'Lista de produtos'!G:G,,),0)</f>
        <v>0</v>
      </c>
      <c r="F55" s="10"/>
      <c r="G55" s="6">
        <f t="shared" si="1"/>
        <v>0</v>
      </c>
      <c r="H55" s="18"/>
      <c r="I55" s="67"/>
      <c r="J55" s="51"/>
    </row>
    <row r="56" spans="1:10" ht="15.6" x14ac:dyDescent="0.3">
      <c r="A56" s="65"/>
      <c r="B56" s="15"/>
      <c r="C56" s="8"/>
      <c r="D56" s="4">
        <f>IFERROR(_xlfn.XLOOKUP(C56,'Lista de produtos'!E:E,'Lista de produtos'!F:F,,)," ")</f>
        <v>0</v>
      </c>
      <c r="E56" s="5">
        <f>IFERROR(_xlfn.XLOOKUP(C56,'Lista de produtos'!E:E,'Lista de produtos'!G:G,,),0)</f>
        <v>0</v>
      </c>
      <c r="F56" s="10"/>
      <c r="G56" s="6">
        <f t="shared" si="1"/>
        <v>0</v>
      </c>
      <c r="H56" s="18"/>
      <c r="I56" s="67"/>
      <c r="J56" s="51"/>
    </row>
    <row r="57" spans="1:10" ht="15.6" x14ac:dyDescent="0.3">
      <c r="A57" s="65"/>
      <c r="B57" s="15"/>
      <c r="C57" s="9"/>
      <c r="D57" s="4">
        <f>IFERROR(_xlfn.XLOOKUP(C57,'Lista de produtos'!E:E,'Lista de produtos'!F:F,,)," ")</f>
        <v>0</v>
      </c>
      <c r="E57" s="5">
        <f>IFERROR(_xlfn.XLOOKUP(C57,'Lista de produtos'!E:E,'Lista de produtos'!G:G,,),0)</f>
        <v>0</v>
      </c>
      <c r="F57" s="11"/>
      <c r="G57" s="7">
        <f t="shared" si="1"/>
        <v>0</v>
      </c>
      <c r="H57" s="18"/>
      <c r="I57" s="67"/>
      <c r="J57" s="51"/>
    </row>
    <row r="58" spans="1:10" ht="15.6" x14ac:dyDescent="0.3">
      <c r="A58" s="65"/>
      <c r="B58" s="15"/>
      <c r="C58" s="8"/>
      <c r="D58" s="4">
        <f>IFERROR(_xlfn.XLOOKUP(C58,'Lista de produtos'!E:E,'Lista de produtos'!F:F,,)," ")</f>
        <v>0</v>
      </c>
      <c r="E58" s="5">
        <f>IFERROR(_xlfn.XLOOKUP(C58,'Lista de produtos'!E:E,'Lista de produtos'!G:G,,),0)</f>
        <v>0</v>
      </c>
      <c r="F58" s="10"/>
      <c r="G58" s="6">
        <f t="shared" si="1"/>
        <v>0</v>
      </c>
      <c r="H58" s="18"/>
      <c r="I58" s="67"/>
      <c r="J58" s="51"/>
    </row>
    <row r="59" spans="1:10" ht="15.6" x14ac:dyDescent="0.3">
      <c r="A59" s="65"/>
      <c r="B59" s="15"/>
      <c r="C59" s="15"/>
      <c r="D59" s="15"/>
      <c r="E59" s="15"/>
      <c r="F59" s="15"/>
      <c r="G59" s="15"/>
      <c r="H59" s="15"/>
      <c r="I59" s="65"/>
      <c r="J59" s="51"/>
    </row>
    <row r="60" spans="1:10" ht="9" customHeight="1" x14ac:dyDescent="0.3">
      <c r="A60" s="65"/>
      <c r="B60" s="65"/>
      <c r="C60" s="65"/>
      <c r="D60" s="69"/>
      <c r="E60" s="70"/>
      <c r="F60" s="71"/>
      <c r="G60" s="68"/>
      <c r="H60" s="68"/>
      <c r="I60" s="68"/>
      <c r="J60" s="51"/>
    </row>
    <row r="61" spans="1:10" ht="15.6" x14ac:dyDescent="0.3">
      <c r="J61" s="51"/>
    </row>
    <row r="63" spans="1:10" x14ac:dyDescent="0.3">
      <c r="J63" s="52"/>
    </row>
  </sheetData>
  <autoFilter ref="C8:G8" xr:uid="{6C669FB6-F7B7-44FA-8CDB-DC5661242CF3}">
    <sortState xmlns:xlrd2="http://schemas.microsoft.com/office/spreadsheetml/2017/richdata2" ref="C9:G58">
      <sortCondition ref="C8"/>
    </sortState>
  </autoFilter>
  <mergeCells count="1">
    <mergeCell ref="C7:G7"/>
  </mergeCells>
  <dataValidations count="3">
    <dataValidation type="list" allowBlank="1" showInputMessage="1" showErrorMessage="1" sqref="E4" xr:uid="{D76A1EFC-3FB1-4D43-8315-A7820516E029}">
      <mc:AlternateContent xmlns:x12ac="http://schemas.microsoft.com/office/spreadsheetml/2011/1/ac" xmlns:mc="http://schemas.openxmlformats.org/markup-compatibility/2006">
        <mc:Choice Requires="x12ac">
          <x12ac:list>"0,1","0,2","0,3","0,4","0,5","0,6","0,7","0,8","0,9","1,0"</x12ac:list>
        </mc:Choice>
        <mc:Fallback>
          <formula1>"0,1,0,2,0,3,0,4,0,5,0,6,0,7,0,8,0,9,1,0"</formula1>
        </mc:Fallback>
      </mc:AlternateContent>
    </dataValidation>
    <dataValidation type="list" allowBlank="1" showInputMessage="1" showErrorMessage="1" sqref="M14:M15" xr:uid="{7347D5DA-3B8C-49DC-A465-592CED284174}">
      <mc:AlternateContent xmlns:x12ac="http://schemas.microsoft.com/office/spreadsheetml/2011/1/ac" xmlns:mc="http://schemas.openxmlformats.org/markup-compatibility/2006">
        <mc:Choice Requires="x12ac">
          <x12ac:list>"0,0","0,01","0,02","0,03","0,04","0,05","0,06","0,07","0,08","0,09"</x12ac:list>
        </mc:Choice>
        <mc:Fallback>
          <formula1>"0,0,0,01,0,02,0,03,0,04,0,05,0,06,0,07,0,08,0,09"</formula1>
        </mc:Fallback>
      </mc:AlternateContent>
    </dataValidation>
    <dataValidation type="list" allowBlank="1" showInputMessage="1" showErrorMessage="1" sqref="D4" xr:uid="{8B0F9FFF-50B9-438A-A6A2-3E4FAE309EF1}">
      <mc:AlternateContent xmlns:x12ac="http://schemas.microsoft.com/office/spreadsheetml/2011/1/ac" xmlns:mc="http://schemas.openxmlformats.org/markup-compatibility/2006">
        <mc:Choice Requires="x12ac">
          <x12ac:list>"0,1","0,2","0,3","0,4","0,5","0,6","0,7","0,8","0,9","0,10"</x12ac:list>
        </mc:Choice>
        <mc:Fallback>
          <formula1>"0,1,0,2,0,3,0,4,0,5,0,6,0,7,0,8,0,9,0,10"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D89C-8831-4267-8B2F-90349A3ED09E}">
  <sheetPr codeName="Planilha3"/>
  <dimension ref="A1:O63"/>
  <sheetViews>
    <sheetView showGridLines="0" zoomScale="85" zoomScaleNormal="85" workbookViewId="0">
      <selection activeCell="L16" sqref="L16:M16"/>
    </sheetView>
  </sheetViews>
  <sheetFormatPr defaultRowHeight="14.4" x14ac:dyDescent="0.3"/>
  <cols>
    <col min="1" max="1" width="2.21875" style="41" customWidth="1"/>
    <col min="2" max="2" width="5.44140625" style="41" customWidth="1"/>
    <col min="3" max="3" width="29.44140625" style="41" customWidth="1"/>
    <col min="4" max="4" width="27" style="41" bestFit="1" customWidth="1"/>
    <col min="5" max="5" width="17.33203125" style="41" bestFit="1" customWidth="1"/>
    <col min="6" max="6" width="16.6640625" style="41" bestFit="1" customWidth="1"/>
    <col min="7" max="7" width="14.5546875" style="41" bestFit="1" customWidth="1"/>
    <col min="8" max="8" width="6.109375" style="54" customWidth="1"/>
    <col min="9" max="9" width="1.5546875" style="41" customWidth="1"/>
    <col min="10" max="10" width="8.5546875" style="41" customWidth="1"/>
    <col min="11" max="11" width="7.21875" style="41" customWidth="1"/>
    <col min="12" max="12" width="31.21875" style="41" customWidth="1"/>
    <col min="13" max="13" width="11.77734375" style="41" bestFit="1" customWidth="1"/>
    <col min="14" max="20" width="8.88671875" style="41"/>
    <col min="21" max="22" width="18" style="41" customWidth="1"/>
    <col min="23" max="16384" width="8.88671875" style="41"/>
  </cols>
  <sheetData>
    <row r="1" spans="1:15" ht="9" customHeight="1" x14ac:dyDescent="0.3">
      <c r="A1" s="65"/>
      <c r="B1" s="65"/>
      <c r="C1" s="65"/>
      <c r="D1" s="65"/>
      <c r="E1" s="65"/>
      <c r="F1" s="65"/>
      <c r="G1" s="65"/>
      <c r="H1" s="66"/>
      <c r="I1" s="65"/>
    </row>
    <row r="2" spans="1:15" x14ac:dyDescent="0.3">
      <c r="A2" s="65"/>
      <c r="B2" s="15"/>
      <c r="C2" s="15"/>
      <c r="D2" s="15"/>
      <c r="E2" s="15"/>
      <c r="F2" s="15"/>
      <c r="G2" s="15"/>
      <c r="H2" s="48"/>
      <c r="I2" s="65"/>
    </row>
    <row r="3" spans="1:15" x14ac:dyDescent="0.3">
      <c r="A3" s="65"/>
      <c r="B3" s="15"/>
      <c r="C3" s="15"/>
      <c r="D3" s="15"/>
      <c r="E3" s="15"/>
      <c r="F3" s="15"/>
      <c r="G3" s="15"/>
      <c r="H3" s="48"/>
      <c r="I3" s="65"/>
    </row>
    <row r="4" spans="1:15" x14ac:dyDescent="0.3">
      <c r="A4" s="65"/>
      <c r="B4" s="15"/>
      <c r="C4" s="15"/>
      <c r="D4" s="13" t="s">
        <v>27</v>
      </c>
      <c r="E4" s="13" t="s">
        <v>18</v>
      </c>
      <c r="F4" s="15"/>
      <c r="G4" s="15"/>
      <c r="H4" s="48"/>
      <c r="I4" s="65"/>
    </row>
    <row r="5" spans="1:15" x14ac:dyDescent="0.3">
      <c r="A5" s="65"/>
      <c r="B5" s="15"/>
      <c r="C5" s="15"/>
      <c r="D5" s="14">
        <v>0.3</v>
      </c>
      <c r="E5" s="14">
        <v>0.4</v>
      </c>
      <c r="F5" s="15"/>
      <c r="G5" s="15"/>
      <c r="H5" s="48"/>
      <c r="I5" s="65"/>
    </row>
    <row r="6" spans="1:15" ht="18" x14ac:dyDescent="0.35">
      <c r="A6" s="65"/>
      <c r="B6" s="15"/>
      <c r="C6" s="15"/>
      <c r="D6" s="15"/>
      <c r="E6" s="15"/>
      <c r="F6" s="15"/>
      <c r="G6" s="15"/>
      <c r="H6" s="48"/>
      <c r="I6" s="65"/>
      <c r="K6" s="23" t="s">
        <v>54</v>
      </c>
      <c r="L6" s="24"/>
      <c r="M6" s="46"/>
      <c r="N6" s="46"/>
    </row>
    <row r="7" spans="1:15" ht="23.4" x14ac:dyDescent="0.45">
      <c r="A7" s="65"/>
      <c r="B7" s="15"/>
      <c r="C7" s="84" t="s">
        <v>17</v>
      </c>
      <c r="D7" s="84"/>
      <c r="E7" s="84"/>
      <c r="F7" s="84"/>
      <c r="G7" s="84"/>
      <c r="H7" s="78"/>
      <c r="I7" s="73"/>
      <c r="K7" s="82"/>
      <c r="L7" s="83"/>
      <c r="M7" s="40"/>
      <c r="N7" s="40"/>
      <c r="O7" s="43"/>
    </row>
    <row r="8" spans="1:15" ht="15.6" customHeight="1" x14ac:dyDescent="0.3">
      <c r="A8" s="65"/>
      <c r="B8" s="15"/>
      <c r="C8" s="12" t="s">
        <v>14</v>
      </c>
      <c r="D8" s="12" t="s">
        <v>1</v>
      </c>
      <c r="E8" s="12" t="s">
        <v>2</v>
      </c>
      <c r="F8" s="12" t="s">
        <v>15</v>
      </c>
      <c r="G8" s="12" t="s">
        <v>16</v>
      </c>
      <c r="H8" s="79"/>
      <c r="I8" s="74"/>
      <c r="K8" s="15"/>
      <c r="L8" s="27" t="s">
        <v>19</v>
      </c>
      <c r="M8" s="28" t="s">
        <v>20</v>
      </c>
      <c r="N8" s="15"/>
    </row>
    <row r="9" spans="1:15" ht="15.6" x14ac:dyDescent="0.3">
      <c r="A9" s="65"/>
      <c r="B9" s="15"/>
      <c r="C9" s="8" t="s">
        <v>4</v>
      </c>
      <c r="D9" s="4">
        <f>IFERROR(_xlfn.XLOOKUP(C9,'Lista de produtos'!E:E,'Lista de produtos'!F:F,,)," ")</f>
        <v>1000</v>
      </c>
      <c r="E9" s="5">
        <f>IFERROR(_xlfn.XLOOKUP(C9,'Lista de produtos'!E:E,'Lista de produtos'!G:G,,),0)</f>
        <v>5</v>
      </c>
      <c r="F9" s="10">
        <v>90</v>
      </c>
      <c r="G9" s="6">
        <f t="shared" ref="G9:G33" si="0">IFERROR(E9/D9*F9,0)</f>
        <v>0.45</v>
      </c>
      <c r="H9" s="55"/>
      <c r="I9" s="67"/>
      <c r="K9" s="15"/>
      <c r="L9" s="61" t="s">
        <v>21</v>
      </c>
      <c r="M9" s="61">
        <f>SUM(G9:G58)</f>
        <v>46.33925639097744</v>
      </c>
      <c r="N9" s="15"/>
    </row>
    <row r="10" spans="1:15" ht="15.6" x14ac:dyDescent="0.3">
      <c r="A10" s="65"/>
      <c r="B10" s="15"/>
      <c r="C10" s="8" t="s">
        <v>35</v>
      </c>
      <c r="D10" s="4">
        <f>IFERROR(_xlfn.XLOOKUP(C10,'Lista de produtos'!E:E,'Lista de produtos'!F:F,,)," ")</f>
        <v>1</v>
      </c>
      <c r="E10" s="5">
        <f>IFERROR(_xlfn.XLOOKUP(C10,'Lista de produtos'!E:E,'Lista de produtos'!G:G,,),0)</f>
        <v>4</v>
      </c>
      <c r="F10" s="10">
        <v>1</v>
      </c>
      <c r="G10" s="6">
        <f t="shared" si="0"/>
        <v>4</v>
      </c>
      <c r="H10" s="55"/>
      <c r="I10" s="67"/>
      <c r="K10" s="15"/>
      <c r="L10" s="61" t="s">
        <v>22</v>
      </c>
      <c r="M10" s="61">
        <f>M9*$D$5</f>
        <v>13.901776917293232</v>
      </c>
      <c r="N10" s="15"/>
    </row>
    <row r="11" spans="1:15" ht="15.6" x14ac:dyDescent="0.3">
      <c r="A11" s="65"/>
      <c r="B11" s="15"/>
      <c r="C11" s="8" t="s">
        <v>38</v>
      </c>
      <c r="D11" s="4">
        <f>IFERROR(_xlfn.XLOOKUP(C11,'Lista de produtos'!E:E,'Lista de produtos'!F:F,,)," ")</f>
        <v>1</v>
      </c>
      <c r="E11" s="5">
        <f>IFERROR(_xlfn.XLOOKUP(C11,'Lista de produtos'!E:E,'Lista de produtos'!G:G,,),0)</f>
        <v>7</v>
      </c>
      <c r="F11" s="10">
        <v>1</v>
      </c>
      <c r="G11" s="6">
        <f t="shared" si="0"/>
        <v>7</v>
      </c>
      <c r="H11" s="55"/>
      <c r="I11" s="67"/>
      <c r="K11" s="15"/>
      <c r="L11" s="61" t="s">
        <v>23</v>
      </c>
      <c r="M11" s="61">
        <f>(M9+M10)*$E$5</f>
        <v>24.096413323308269</v>
      </c>
      <c r="N11" s="15"/>
    </row>
    <row r="12" spans="1:15" ht="15.6" x14ac:dyDescent="0.3">
      <c r="A12" s="65"/>
      <c r="B12" s="15"/>
      <c r="C12" s="8" t="s">
        <v>11</v>
      </c>
      <c r="D12" s="4">
        <f>IFERROR(_xlfn.XLOOKUP(C12,'Lista de produtos'!E:E,'Lista de produtos'!F:F,,)," ")</f>
        <v>1000</v>
      </c>
      <c r="E12" s="5">
        <f>IFERROR(_xlfn.XLOOKUP(C12,'Lista de produtos'!E:E,'Lista de produtos'!G:G,,),0)</f>
        <v>20.888999999999999</v>
      </c>
      <c r="F12" s="10">
        <v>300</v>
      </c>
      <c r="G12" s="6">
        <f t="shared" si="0"/>
        <v>6.2666999999999993</v>
      </c>
      <c r="H12" s="55"/>
      <c r="I12" s="67"/>
      <c r="K12" s="15"/>
      <c r="L12" s="61"/>
      <c r="M12" s="61"/>
      <c r="N12" s="15"/>
    </row>
    <row r="13" spans="1:15" ht="17.399999999999999" customHeight="1" x14ac:dyDescent="0.3">
      <c r="A13" s="65"/>
      <c r="B13" s="15"/>
      <c r="C13" s="8" t="s">
        <v>48</v>
      </c>
      <c r="D13" s="4">
        <f>IFERROR(_xlfn.XLOOKUP(C13,'Lista de produtos'!E:E,'Lista de produtos'!F:F,,)," ")</f>
        <v>380</v>
      </c>
      <c r="E13" s="5">
        <f>IFERROR(_xlfn.XLOOKUP(C13,'Lista de produtos'!E:E,'Lista de produtos'!G:G,,),0)</f>
        <v>22</v>
      </c>
      <c r="F13" s="10">
        <v>30</v>
      </c>
      <c r="G13" s="6">
        <f t="shared" si="0"/>
        <v>1.736842105263158</v>
      </c>
      <c r="H13" s="55"/>
      <c r="I13" s="67"/>
      <c r="K13" s="15"/>
      <c r="L13" s="61" t="s">
        <v>25</v>
      </c>
      <c r="M13" s="61"/>
      <c r="N13" s="15"/>
    </row>
    <row r="14" spans="1:15" ht="15.6" x14ac:dyDescent="0.3">
      <c r="A14" s="65"/>
      <c r="B14" s="15"/>
      <c r="C14" s="8" t="s">
        <v>7</v>
      </c>
      <c r="D14" s="4">
        <f>IFERROR(_xlfn.XLOOKUP(C14,'Lista de produtos'!E:E,'Lista de produtos'!F:F,,)," ")</f>
        <v>200</v>
      </c>
      <c r="E14" s="5">
        <f>IFERROR(_xlfn.XLOOKUP(C14,'Lista de produtos'!E:E,'Lista de produtos'!G:G,,),0)</f>
        <v>3</v>
      </c>
      <c r="F14" s="10">
        <v>200</v>
      </c>
      <c r="G14" s="6">
        <f t="shared" si="0"/>
        <v>3</v>
      </c>
      <c r="H14" s="55"/>
      <c r="I14" s="67"/>
      <c r="K14" s="15"/>
      <c r="L14" s="61" t="s">
        <v>24</v>
      </c>
      <c r="M14" s="62">
        <v>0.01</v>
      </c>
      <c r="N14" s="15"/>
    </row>
    <row r="15" spans="1:15" ht="15.6" x14ac:dyDescent="0.3">
      <c r="A15" s="65"/>
      <c r="B15" s="15"/>
      <c r="C15" s="8" t="s">
        <v>5</v>
      </c>
      <c r="D15" s="4">
        <f>IFERROR(_xlfn.XLOOKUP(C15,'Lista de produtos'!E:E,'Lista de produtos'!F:F,,)," ")</f>
        <v>1000</v>
      </c>
      <c r="E15" s="5">
        <f>IFERROR(_xlfn.XLOOKUP(C15,'Lista de produtos'!E:E,'Lista de produtos'!G:G,,),0)</f>
        <v>5</v>
      </c>
      <c r="F15" s="10">
        <v>120</v>
      </c>
      <c r="G15" s="6">
        <f t="shared" si="0"/>
        <v>0.6</v>
      </c>
      <c r="H15" s="55"/>
      <c r="I15" s="67"/>
      <c r="K15" s="15"/>
      <c r="L15" s="61" t="s">
        <v>26</v>
      </c>
      <c r="M15" s="62">
        <v>0</v>
      </c>
      <c r="N15" s="15"/>
    </row>
    <row r="16" spans="1:15" ht="18" x14ac:dyDescent="0.35">
      <c r="A16" s="65"/>
      <c r="B16" s="15"/>
      <c r="C16" s="8" t="s">
        <v>6</v>
      </c>
      <c r="D16" s="4">
        <f>IFERROR(_xlfn.XLOOKUP(C16,'Lista de produtos'!E:E,'Lista de produtos'!F:F,,)," ")</f>
        <v>395</v>
      </c>
      <c r="E16" s="5">
        <f>IFERROR(_xlfn.XLOOKUP(C16,'Lista de produtos'!E:E,'Lista de produtos'!G:G,,),0)</f>
        <v>6</v>
      </c>
      <c r="F16" s="10">
        <v>395</v>
      </c>
      <c r="G16" s="6">
        <f t="shared" si="0"/>
        <v>6</v>
      </c>
      <c r="H16" s="55"/>
      <c r="I16" s="67"/>
      <c r="K16" s="15"/>
      <c r="L16" s="85" t="s">
        <v>64</v>
      </c>
      <c r="M16" s="59">
        <f>SUM(M9:M10,M13)*(1+M14+M15)</f>
        <v>60.843443641353382</v>
      </c>
      <c r="N16" s="15"/>
    </row>
    <row r="17" spans="1:14" ht="21" x14ac:dyDescent="0.4">
      <c r="A17" s="65"/>
      <c r="B17" s="15"/>
      <c r="C17" s="8" t="s">
        <v>3</v>
      </c>
      <c r="D17" s="4">
        <f>IFERROR(_xlfn.XLOOKUP(C17,'Lista de produtos'!E:E,'Lista de produtos'!F:F,,)," ")</f>
        <v>30</v>
      </c>
      <c r="E17" s="5">
        <f>IFERROR(_xlfn.XLOOKUP(C17,'Lista de produtos'!E:E,'Lista de produtos'!G:G,,),0)</f>
        <v>20</v>
      </c>
      <c r="F17" s="10">
        <v>3</v>
      </c>
      <c r="G17" s="6">
        <f t="shared" si="0"/>
        <v>2</v>
      </c>
      <c r="H17" s="55"/>
      <c r="I17" s="67"/>
      <c r="K17" s="15"/>
      <c r="L17" s="29" t="s">
        <v>28</v>
      </c>
      <c r="M17" s="30">
        <f>SUM(M9:M11,M13)*(1+M14+M15)</f>
        <v>85.180821097894736</v>
      </c>
      <c r="N17" s="15"/>
    </row>
    <row r="18" spans="1:14" ht="15.6" x14ac:dyDescent="0.3">
      <c r="A18" s="65"/>
      <c r="B18" s="15"/>
      <c r="C18" s="8" t="s">
        <v>10</v>
      </c>
      <c r="D18" s="4">
        <f>IFERROR(_xlfn.XLOOKUP(C18,'Lista de produtos'!E:E,'Lista de produtos'!F:F,,)," ")</f>
        <v>1</v>
      </c>
      <c r="E18" s="5">
        <f>IFERROR(_xlfn.XLOOKUP(C18,'Lista de produtos'!E:E,'Lista de produtos'!G:G,,),0)</f>
        <v>35</v>
      </c>
      <c r="F18" s="10">
        <v>0</v>
      </c>
      <c r="G18" s="6">
        <f t="shared" si="0"/>
        <v>0</v>
      </c>
      <c r="H18" s="55"/>
      <c r="I18" s="67"/>
      <c r="K18" s="15"/>
      <c r="L18" s="15"/>
      <c r="M18" s="15"/>
      <c r="N18" s="15"/>
    </row>
    <row r="19" spans="1:14" ht="15.6" x14ac:dyDescent="0.3">
      <c r="A19" s="65"/>
      <c r="B19" s="15"/>
      <c r="C19" s="8" t="s">
        <v>49</v>
      </c>
      <c r="D19" s="4">
        <f>IFERROR(_xlfn.XLOOKUP(C19,'Lista de produtos'!E:E,'Lista de produtos'!F:F,,)," ")</f>
        <v>350</v>
      </c>
      <c r="E19" s="5">
        <f>IFERROR(_xlfn.XLOOKUP(C19,'Lista de produtos'!E:E,'Lista de produtos'!G:G,,),0)</f>
        <v>50</v>
      </c>
      <c r="F19" s="10">
        <v>100</v>
      </c>
      <c r="G19" s="6">
        <f t="shared" si="0"/>
        <v>14.285714285714285</v>
      </c>
      <c r="H19" s="55"/>
      <c r="I19" s="67"/>
    </row>
    <row r="20" spans="1:14" ht="15.6" x14ac:dyDescent="0.3">
      <c r="A20" s="65"/>
      <c r="B20" s="15"/>
      <c r="C20" s="8" t="s">
        <v>46</v>
      </c>
      <c r="D20" s="4">
        <f>IFERROR(_xlfn.XLOOKUP(C20,'Lista de produtos'!E:E,'Lista de produtos'!F:F,,)," ")</f>
        <v>1000</v>
      </c>
      <c r="E20" s="5">
        <f>IFERROR(_xlfn.XLOOKUP(C20,'Lista de produtos'!E:E,'Lista de produtos'!G:G,,),0)</f>
        <v>5</v>
      </c>
      <c r="F20" s="10">
        <v>200</v>
      </c>
      <c r="G20" s="6">
        <f t="shared" si="0"/>
        <v>1</v>
      </c>
      <c r="H20" s="55"/>
      <c r="I20" s="67"/>
    </row>
    <row r="21" spans="1:14" ht="15.6" x14ac:dyDescent="0.3">
      <c r="A21" s="65"/>
      <c r="B21" s="15"/>
      <c r="C21" s="8"/>
      <c r="D21" s="4">
        <f>IFERROR(_xlfn.XLOOKUP(C21,'Lista de produtos'!E:E,'Lista de produtos'!F:F,,)," ")</f>
        <v>0</v>
      </c>
      <c r="E21" s="5">
        <f>IFERROR(_xlfn.XLOOKUP(C21,'Lista de produtos'!E:E,'Lista de produtos'!G:G,,),0)</f>
        <v>0</v>
      </c>
      <c r="F21" s="10"/>
      <c r="G21" s="6">
        <f t="shared" si="0"/>
        <v>0</v>
      </c>
      <c r="H21" s="55"/>
      <c r="I21" s="67"/>
      <c r="K21" s="75"/>
      <c r="L21" s="53"/>
    </row>
    <row r="22" spans="1:14" ht="15.6" x14ac:dyDescent="0.3">
      <c r="A22" s="65"/>
      <c r="B22" s="15"/>
      <c r="C22" s="8"/>
      <c r="D22" s="4">
        <f>IFERROR(_xlfn.XLOOKUP(C22,'Lista de produtos'!E:E,'Lista de produtos'!F:F,,)," ")</f>
        <v>0</v>
      </c>
      <c r="E22" s="5">
        <f>IFERROR(_xlfn.XLOOKUP(C22,'Lista de produtos'!E:E,'Lista de produtos'!G:G,,),0)</f>
        <v>0</v>
      </c>
      <c r="F22" s="10"/>
      <c r="G22" s="6">
        <f t="shared" si="0"/>
        <v>0</v>
      </c>
      <c r="H22" s="55"/>
      <c r="I22" s="67"/>
    </row>
    <row r="23" spans="1:14" ht="15.6" x14ac:dyDescent="0.3">
      <c r="A23" s="65"/>
      <c r="B23" s="15"/>
      <c r="C23" s="8"/>
      <c r="D23" s="4">
        <f>IFERROR(_xlfn.XLOOKUP(C23,'Lista de produtos'!E:E,'Lista de produtos'!F:F,,)," ")</f>
        <v>0</v>
      </c>
      <c r="E23" s="5">
        <f>IFERROR(_xlfn.XLOOKUP(C23,'Lista de produtos'!E:E,'Lista de produtos'!G:G,,),0)</f>
        <v>0</v>
      </c>
      <c r="F23" s="10"/>
      <c r="G23" s="6">
        <f t="shared" si="0"/>
        <v>0</v>
      </c>
      <c r="H23" s="55"/>
      <c r="I23" s="67"/>
    </row>
    <row r="24" spans="1:14" ht="15.6" x14ac:dyDescent="0.3">
      <c r="A24" s="65"/>
      <c r="B24" s="15"/>
      <c r="C24" s="8"/>
      <c r="D24" s="4">
        <f>IFERROR(_xlfn.XLOOKUP(C24,'Lista de produtos'!E:E,'Lista de produtos'!F:F,,)," ")</f>
        <v>0</v>
      </c>
      <c r="E24" s="5">
        <f>IFERROR(_xlfn.XLOOKUP(C24,'Lista de produtos'!E:E,'Lista de produtos'!G:G,,),0)</f>
        <v>0</v>
      </c>
      <c r="F24" s="10"/>
      <c r="G24" s="6">
        <f t="shared" si="0"/>
        <v>0</v>
      </c>
      <c r="H24" s="55"/>
      <c r="I24" s="67"/>
      <c r="J24" s="51"/>
    </row>
    <row r="25" spans="1:14" ht="15.6" x14ac:dyDescent="0.3">
      <c r="A25" s="65"/>
      <c r="B25" s="15"/>
      <c r="C25" s="8"/>
      <c r="D25" s="4">
        <f>IFERROR(_xlfn.XLOOKUP(C25,'Lista de produtos'!E:E,'Lista de produtos'!F:F,,)," ")</f>
        <v>0</v>
      </c>
      <c r="E25" s="5">
        <f>IFERROR(_xlfn.XLOOKUP(C25,'Lista de produtos'!E:E,'Lista de produtos'!G:G,,),0)</f>
        <v>0</v>
      </c>
      <c r="F25" s="10"/>
      <c r="G25" s="6">
        <f t="shared" si="0"/>
        <v>0</v>
      </c>
      <c r="H25" s="55"/>
      <c r="I25" s="67"/>
      <c r="J25" s="51"/>
    </row>
    <row r="26" spans="1:14" ht="15.6" x14ac:dyDescent="0.3">
      <c r="A26" s="65"/>
      <c r="B26" s="15"/>
      <c r="C26" s="8"/>
      <c r="D26" s="4">
        <f>IFERROR(_xlfn.XLOOKUP(C26,'Lista de produtos'!E:E,'Lista de produtos'!F:F,,)," ")</f>
        <v>0</v>
      </c>
      <c r="E26" s="5">
        <f>IFERROR(_xlfn.XLOOKUP(C26,'Lista de produtos'!E:E,'Lista de produtos'!G:G,,),0)</f>
        <v>0</v>
      </c>
      <c r="F26" s="10"/>
      <c r="G26" s="6">
        <f t="shared" si="0"/>
        <v>0</v>
      </c>
      <c r="H26" s="55"/>
      <c r="I26" s="67"/>
      <c r="J26" s="51"/>
    </row>
    <row r="27" spans="1:14" ht="15.6" x14ac:dyDescent="0.3">
      <c r="A27" s="65"/>
      <c r="B27" s="15"/>
      <c r="C27" s="8"/>
      <c r="D27" s="4">
        <f>IFERROR(_xlfn.XLOOKUP(C27,'Lista de produtos'!E:E,'Lista de produtos'!F:F,,)," ")</f>
        <v>0</v>
      </c>
      <c r="E27" s="5">
        <f>IFERROR(_xlfn.XLOOKUP(C27,'Lista de produtos'!E:E,'Lista de produtos'!G:G,,),0)</f>
        <v>0</v>
      </c>
      <c r="F27" s="10"/>
      <c r="G27" s="6">
        <f t="shared" si="0"/>
        <v>0</v>
      </c>
      <c r="H27" s="55"/>
      <c r="I27" s="67"/>
      <c r="J27" s="51"/>
    </row>
    <row r="28" spans="1:14" ht="15.6" x14ac:dyDescent="0.3">
      <c r="A28" s="65"/>
      <c r="B28" s="15"/>
      <c r="C28" s="8"/>
      <c r="D28" s="4">
        <f>IFERROR(_xlfn.XLOOKUP(C28,'Lista de produtos'!E:E,'Lista de produtos'!F:F,,)," ")</f>
        <v>0</v>
      </c>
      <c r="E28" s="5">
        <f>IFERROR(_xlfn.XLOOKUP(C28,'Lista de produtos'!E:E,'Lista de produtos'!G:G,,),0)</f>
        <v>0</v>
      </c>
      <c r="F28" s="10"/>
      <c r="G28" s="6">
        <f t="shared" si="0"/>
        <v>0</v>
      </c>
      <c r="H28" s="55"/>
      <c r="I28" s="67"/>
      <c r="J28" s="51"/>
    </row>
    <row r="29" spans="1:14" ht="15.6" x14ac:dyDescent="0.3">
      <c r="A29" s="65"/>
      <c r="B29" s="15"/>
      <c r="C29" s="8"/>
      <c r="D29" s="4">
        <f>IFERROR(_xlfn.XLOOKUP(C29,'Lista de produtos'!E:E,'Lista de produtos'!F:F,,)," ")</f>
        <v>0</v>
      </c>
      <c r="E29" s="5">
        <f>IFERROR(_xlfn.XLOOKUP(C29,'Lista de produtos'!E:E,'Lista de produtos'!G:G,,),0)</f>
        <v>0</v>
      </c>
      <c r="F29" s="10"/>
      <c r="G29" s="6">
        <f t="shared" si="0"/>
        <v>0</v>
      </c>
      <c r="H29" s="55"/>
      <c r="I29" s="67"/>
      <c r="J29" s="51"/>
    </row>
    <row r="30" spans="1:14" ht="15.6" x14ac:dyDescent="0.3">
      <c r="A30" s="65"/>
      <c r="B30" s="15"/>
      <c r="C30" s="8"/>
      <c r="D30" s="4">
        <f>IFERROR(_xlfn.XLOOKUP(C30,'Lista de produtos'!E:E,'Lista de produtos'!F:F,,)," ")</f>
        <v>0</v>
      </c>
      <c r="E30" s="5">
        <f>IFERROR(_xlfn.XLOOKUP(C30,'Lista de produtos'!E:E,'Lista de produtos'!G:G,,),0)</f>
        <v>0</v>
      </c>
      <c r="F30" s="10"/>
      <c r="G30" s="6">
        <f t="shared" si="0"/>
        <v>0</v>
      </c>
      <c r="H30" s="55"/>
      <c r="I30" s="67"/>
      <c r="J30" s="51"/>
    </row>
    <row r="31" spans="1:14" ht="15.6" x14ac:dyDescent="0.3">
      <c r="A31" s="65"/>
      <c r="B31" s="15"/>
      <c r="C31" s="8"/>
      <c r="D31" s="4">
        <f>IFERROR(_xlfn.XLOOKUP(C31,'Lista de produtos'!E:E,'Lista de produtos'!F:F,,)," ")</f>
        <v>0</v>
      </c>
      <c r="E31" s="5">
        <f>IFERROR(_xlfn.XLOOKUP(C31,'Lista de produtos'!E:E,'Lista de produtos'!G:G,,),0)</f>
        <v>0</v>
      </c>
      <c r="F31" s="10"/>
      <c r="G31" s="6">
        <f t="shared" si="0"/>
        <v>0</v>
      </c>
      <c r="H31" s="55"/>
      <c r="I31" s="67"/>
      <c r="J31" s="51"/>
    </row>
    <row r="32" spans="1:14" ht="15.6" x14ac:dyDescent="0.3">
      <c r="A32" s="65"/>
      <c r="B32" s="15"/>
      <c r="C32" s="8"/>
      <c r="D32" s="4">
        <f>IFERROR(_xlfn.XLOOKUP(C32,'Lista de produtos'!E:E,'Lista de produtos'!F:F,,)," ")</f>
        <v>0</v>
      </c>
      <c r="E32" s="5">
        <f>IFERROR(_xlfn.XLOOKUP(C32,'Lista de produtos'!E:E,'Lista de produtos'!G:G,,),0)</f>
        <v>0</v>
      </c>
      <c r="F32" s="10"/>
      <c r="G32" s="6">
        <f t="shared" si="0"/>
        <v>0</v>
      </c>
      <c r="H32" s="55"/>
      <c r="I32" s="67"/>
      <c r="J32" s="51"/>
    </row>
    <row r="33" spans="1:10" ht="15.6" x14ac:dyDescent="0.3">
      <c r="A33" s="65"/>
      <c r="B33" s="15"/>
      <c r="C33" s="8"/>
      <c r="D33" s="4">
        <f>IFERROR(_xlfn.XLOOKUP(C33,'Lista de produtos'!E:E,'Lista de produtos'!F:F,,)," ")</f>
        <v>0</v>
      </c>
      <c r="E33" s="5">
        <f>IFERROR(_xlfn.XLOOKUP(C33,'Lista de produtos'!E:E,'Lista de produtos'!G:G,,),0)</f>
        <v>0</v>
      </c>
      <c r="F33" s="10"/>
      <c r="G33" s="6">
        <f t="shared" si="0"/>
        <v>0</v>
      </c>
      <c r="H33" s="55"/>
      <c r="I33" s="67"/>
      <c r="J33" s="51"/>
    </row>
    <row r="34" spans="1:10" ht="15.6" x14ac:dyDescent="0.3">
      <c r="A34" s="65"/>
      <c r="B34" s="15"/>
      <c r="C34" s="8"/>
      <c r="D34" s="4">
        <f>IFERROR(_xlfn.XLOOKUP(C34,'Lista de produtos'!E:E,'Lista de produtos'!F:F,,)," ")</f>
        <v>0</v>
      </c>
      <c r="E34" s="5">
        <f>IFERROR(_xlfn.XLOOKUP(C34,'Lista de produtos'!E:E,'Lista de produtos'!G:G,,),0)</f>
        <v>0</v>
      </c>
      <c r="F34" s="10"/>
      <c r="G34" s="6">
        <f>IFERROR(#REF!/D34*F34,0)</f>
        <v>0</v>
      </c>
      <c r="H34" s="55"/>
      <c r="I34" s="67"/>
      <c r="J34" s="51"/>
    </row>
    <row r="35" spans="1:10" ht="15.6" x14ac:dyDescent="0.3">
      <c r="A35" s="65"/>
      <c r="B35" s="15"/>
      <c r="C35" s="8"/>
      <c r="D35" s="4">
        <f>IFERROR(_xlfn.XLOOKUP(C35,'Lista de produtos'!E:E,'Lista de produtos'!F:F,,)," ")</f>
        <v>0</v>
      </c>
      <c r="E35" s="5">
        <f>IFERROR(_xlfn.XLOOKUP(C35,'Lista de produtos'!E:E,'Lista de produtos'!G:G,,),0)</f>
        <v>0</v>
      </c>
      <c r="F35" s="10"/>
      <c r="G35" s="6">
        <f>IFERROR(#REF!/D35*F35,0)</f>
        <v>0</v>
      </c>
      <c r="H35" s="55"/>
      <c r="I35" s="67"/>
      <c r="J35" s="51"/>
    </row>
    <row r="36" spans="1:10" ht="15.6" x14ac:dyDescent="0.3">
      <c r="A36" s="65"/>
      <c r="B36" s="15"/>
      <c r="C36" s="8"/>
      <c r="D36" s="4">
        <f>IFERROR(_xlfn.XLOOKUP(C36,'Lista de produtos'!E:E,'Lista de produtos'!F:F,,)," ")</f>
        <v>0</v>
      </c>
      <c r="E36" s="5">
        <f>IFERROR(_xlfn.XLOOKUP(C36,'Lista de produtos'!E:E,'Lista de produtos'!G:G,,),0)</f>
        <v>0</v>
      </c>
      <c r="F36" s="10"/>
      <c r="G36" s="6">
        <f t="shared" ref="G36:G58" si="1">IFERROR(E36/D36*F36,0)</f>
        <v>0</v>
      </c>
      <c r="H36" s="55"/>
      <c r="I36" s="67"/>
      <c r="J36" s="51"/>
    </row>
    <row r="37" spans="1:10" ht="15.6" x14ac:dyDescent="0.3">
      <c r="A37" s="65"/>
      <c r="B37" s="15"/>
      <c r="C37" s="8"/>
      <c r="D37" s="4">
        <f>IFERROR(_xlfn.XLOOKUP(C37,'Lista de produtos'!E:E,'Lista de produtos'!F:F,,)," ")</f>
        <v>0</v>
      </c>
      <c r="E37" s="5">
        <f>IFERROR(_xlfn.XLOOKUP(C37,'Lista de produtos'!E:E,'Lista de produtos'!G:G,,),0)</f>
        <v>0</v>
      </c>
      <c r="F37" s="10"/>
      <c r="G37" s="6">
        <f t="shared" si="1"/>
        <v>0</v>
      </c>
      <c r="H37" s="55"/>
      <c r="I37" s="67"/>
      <c r="J37" s="51"/>
    </row>
    <row r="38" spans="1:10" ht="15.6" x14ac:dyDescent="0.3">
      <c r="A38" s="65"/>
      <c r="B38" s="15"/>
      <c r="C38" s="8"/>
      <c r="D38" s="4">
        <f>IFERROR(_xlfn.XLOOKUP(C38,'Lista de produtos'!E:E,'Lista de produtos'!F:F,,)," ")</f>
        <v>0</v>
      </c>
      <c r="E38" s="5">
        <f>IFERROR(_xlfn.XLOOKUP(C38,'Lista de produtos'!E:E,'Lista de produtos'!G:G,,),0)</f>
        <v>0</v>
      </c>
      <c r="F38" s="10"/>
      <c r="G38" s="6">
        <f t="shared" si="1"/>
        <v>0</v>
      </c>
      <c r="H38" s="55"/>
      <c r="I38" s="67"/>
      <c r="J38" s="51"/>
    </row>
    <row r="39" spans="1:10" ht="15.6" x14ac:dyDescent="0.3">
      <c r="A39" s="65"/>
      <c r="B39" s="15"/>
      <c r="C39" s="8"/>
      <c r="D39" s="4">
        <f>IFERROR(_xlfn.XLOOKUP(C39,'Lista de produtos'!E:E,'Lista de produtos'!F:F,,)," ")</f>
        <v>0</v>
      </c>
      <c r="E39" s="5">
        <f>IFERROR(_xlfn.XLOOKUP(C39,'Lista de produtos'!E:E,'Lista de produtos'!G:G,,),0)</f>
        <v>0</v>
      </c>
      <c r="F39" s="10"/>
      <c r="G39" s="6">
        <f t="shared" si="1"/>
        <v>0</v>
      </c>
      <c r="H39" s="55"/>
      <c r="I39" s="67"/>
      <c r="J39" s="51"/>
    </row>
    <row r="40" spans="1:10" ht="15.6" x14ac:dyDescent="0.3">
      <c r="A40" s="65"/>
      <c r="B40" s="15"/>
      <c r="C40" s="8"/>
      <c r="D40" s="4">
        <f>IFERROR(_xlfn.XLOOKUP(C40,'Lista de produtos'!E:E,'Lista de produtos'!F:F,,)," ")</f>
        <v>0</v>
      </c>
      <c r="E40" s="5">
        <f>IFERROR(_xlfn.XLOOKUP(C40,'Lista de produtos'!E:E,'Lista de produtos'!G:G,,),0)</f>
        <v>0</v>
      </c>
      <c r="F40" s="10"/>
      <c r="G40" s="6">
        <f t="shared" si="1"/>
        <v>0</v>
      </c>
      <c r="H40" s="55"/>
      <c r="I40" s="67"/>
      <c r="J40" s="51"/>
    </row>
    <row r="41" spans="1:10" ht="15.6" x14ac:dyDescent="0.3">
      <c r="A41" s="65"/>
      <c r="B41" s="15"/>
      <c r="C41" s="8"/>
      <c r="D41" s="4">
        <f>IFERROR(_xlfn.XLOOKUP(C41,'Lista de produtos'!E:E,'Lista de produtos'!F:F,,)," ")</f>
        <v>0</v>
      </c>
      <c r="E41" s="5">
        <f>IFERROR(_xlfn.XLOOKUP(C41,'Lista de produtos'!E:E,'Lista de produtos'!G:G,,),0)</f>
        <v>0</v>
      </c>
      <c r="F41" s="10"/>
      <c r="G41" s="6">
        <f t="shared" si="1"/>
        <v>0</v>
      </c>
      <c r="H41" s="55"/>
      <c r="I41" s="67"/>
      <c r="J41" s="51"/>
    </row>
    <row r="42" spans="1:10" ht="15.6" x14ac:dyDescent="0.3">
      <c r="A42" s="65"/>
      <c r="B42" s="15"/>
      <c r="C42" s="8"/>
      <c r="D42" s="4">
        <f>IFERROR(_xlfn.XLOOKUP(C42,'Lista de produtos'!E:E,'Lista de produtos'!F:F,,)," ")</f>
        <v>0</v>
      </c>
      <c r="E42" s="5">
        <f>IFERROR(_xlfn.XLOOKUP(C42,'Lista de produtos'!E:E,'Lista de produtos'!G:G,,),0)</f>
        <v>0</v>
      </c>
      <c r="F42" s="10"/>
      <c r="G42" s="6">
        <f t="shared" si="1"/>
        <v>0</v>
      </c>
      <c r="H42" s="55"/>
      <c r="I42" s="67"/>
      <c r="J42" s="51"/>
    </row>
    <row r="43" spans="1:10" ht="15.6" x14ac:dyDescent="0.3">
      <c r="A43" s="65"/>
      <c r="B43" s="15"/>
      <c r="C43" s="8"/>
      <c r="D43" s="4">
        <f>IFERROR(_xlfn.XLOOKUP(C43,'Lista de produtos'!E:E,'Lista de produtos'!F:F,,)," ")</f>
        <v>0</v>
      </c>
      <c r="E43" s="5">
        <f>IFERROR(_xlfn.XLOOKUP(C43,'Lista de produtos'!E:E,'Lista de produtos'!G:G,,),0)</f>
        <v>0</v>
      </c>
      <c r="F43" s="10"/>
      <c r="G43" s="6">
        <f t="shared" si="1"/>
        <v>0</v>
      </c>
      <c r="H43" s="55"/>
      <c r="I43" s="67"/>
      <c r="J43" s="51"/>
    </row>
    <row r="44" spans="1:10" ht="15.6" x14ac:dyDescent="0.3">
      <c r="A44" s="65"/>
      <c r="B44" s="15"/>
      <c r="C44" s="8"/>
      <c r="D44" s="4">
        <f>IFERROR(_xlfn.XLOOKUP(C44,'Lista de produtos'!E:E,'Lista de produtos'!F:F,,)," ")</f>
        <v>0</v>
      </c>
      <c r="E44" s="5">
        <f>IFERROR(_xlfn.XLOOKUP(C44,'Lista de produtos'!E:E,'Lista de produtos'!G:G,,),0)</f>
        <v>0</v>
      </c>
      <c r="F44" s="10"/>
      <c r="G44" s="6">
        <f t="shared" si="1"/>
        <v>0</v>
      </c>
      <c r="H44" s="55"/>
      <c r="I44" s="67"/>
      <c r="J44" s="51"/>
    </row>
    <row r="45" spans="1:10" ht="15.6" x14ac:dyDescent="0.3">
      <c r="A45" s="65"/>
      <c r="B45" s="15"/>
      <c r="C45" s="8"/>
      <c r="D45" s="4">
        <f>IFERROR(_xlfn.XLOOKUP(C45,'Lista de produtos'!E:E,'Lista de produtos'!F:F,,)," ")</f>
        <v>0</v>
      </c>
      <c r="E45" s="5">
        <f>IFERROR(_xlfn.XLOOKUP(C45,'Lista de produtos'!E:E,'Lista de produtos'!G:G,,),0)</f>
        <v>0</v>
      </c>
      <c r="F45" s="10"/>
      <c r="G45" s="6">
        <f t="shared" si="1"/>
        <v>0</v>
      </c>
      <c r="H45" s="55"/>
      <c r="I45" s="67"/>
      <c r="J45" s="51"/>
    </row>
    <row r="46" spans="1:10" ht="15.6" x14ac:dyDescent="0.3">
      <c r="A46" s="65"/>
      <c r="B46" s="15"/>
      <c r="C46" s="8"/>
      <c r="D46" s="4">
        <f>IFERROR(_xlfn.XLOOKUP(C46,'Lista de produtos'!E:E,'Lista de produtos'!F:F,,)," ")</f>
        <v>0</v>
      </c>
      <c r="E46" s="5">
        <f>IFERROR(_xlfn.XLOOKUP(C46,'Lista de produtos'!E:E,'Lista de produtos'!G:G,,),0)</f>
        <v>0</v>
      </c>
      <c r="F46" s="10"/>
      <c r="G46" s="6">
        <f t="shared" si="1"/>
        <v>0</v>
      </c>
      <c r="H46" s="55"/>
      <c r="I46" s="67"/>
      <c r="J46" s="51"/>
    </row>
    <row r="47" spans="1:10" ht="15.6" x14ac:dyDescent="0.3">
      <c r="A47" s="65"/>
      <c r="B47" s="15"/>
      <c r="C47" s="8"/>
      <c r="D47" s="4">
        <f>IFERROR(_xlfn.XLOOKUP(C47,'Lista de produtos'!E:E,'Lista de produtos'!F:F,,)," ")</f>
        <v>0</v>
      </c>
      <c r="E47" s="5">
        <f>IFERROR(_xlfn.XLOOKUP(C47,'Lista de produtos'!E:E,'Lista de produtos'!G:G,,),0)</f>
        <v>0</v>
      </c>
      <c r="F47" s="10"/>
      <c r="G47" s="6">
        <f t="shared" si="1"/>
        <v>0</v>
      </c>
      <c r="H47" s="55"/>
      <c r="I47" s="67"/>
      <c r="J47" s="51"/>
    </row>
    <row r="48" spans="1:10" ht="15.6" x14ac:dyDescent="0.3">
      <c r="A48" s="65"/>
      <c r="B48" s="15"/>
      <c r="C48" s="8"/>
      <c r="D48" s="4">
        <f>IFERROR(_xlfn.XLOOKUP(C48,'Lista de produtos'!E:E,'Lista de produtos'!F:F,,)," ")</f>
        <v>0</v>
      </c>
      <c r="E48" s="5">
        <f>IFERROR(_xlfn.XLOOKUP(C48,'Lista de produtos'!E:E,'Lista de produtos'!G:G,,),0)</f>
        <v>0</v>
      </c>
      <c r="F48" s="10"/>
      <c r="G48" s="6">
        <f t="shared" si="1"/>
        <v>0</v>
      </c>
      <c r="H48" s="55"/>
      <c r="I48" s="67"/>
      <c r="J48" s="51"/>
    </row>
    <row r="49" spans="1:10" ht="15.6" x14ac:dyDescent="0.3">
      <c r="A49" s="65"/>
      <c r="B49" s="15"/>
      <c r="C49" s="8"/>
      <c r="D49" s="4">
        <f>IFERROR(_xlfn.XLOOKUP(C49,'Lista de produtos'!E:E,'Lista de produtos'!F:F,,)," ")</f>
        <v>0</v>
      </c>
      <c r="E49" s="5">
        <f>IFERROR(_xlfn.XLOOKUP(C49,'Lista de produtos'!E:E,'Lista de produtos'!G:G,,),0)</f>
        <v>0</v>
      </c>
      <c r="F49" s="10"/>
      <c r="G49" s="6">
        <f t="shared" si="1"/>
        <v>0</v>
      </c>
      <c r="H49" s="55"/>
      <c r="I49" s="67"/>
      <c r="J49" s="51"/>
    </row>
    <row r="50" spans="1:10" ht="15.6" x14ac:dyDescent="0.3">
      <c r="A50" s="65"/>
      <c r="B50" s="15"/>
      <c r="C50" s="8"/>
      <c r="D50" s="4">
        <f>IFERROR(_xlfn.XLOOKUP(C50,'Lista de produtos'!E:E,'Lista de produtos'!F:F,,)," ")</f>
        <v>0</v>
      </c>
      <c r="E50" s="5">
        <f>IFERROR(_xlfn.XLOOKUP(C50,'Lista de produtos'!E:E,'Lista de produtos'!G:G,,),0)</f>
        <v>0</v>
      </c>
      <c r="F50" s="10"/>
      <c r="G50" s="6">
        <f t="shared" si="1"/>
        <v>0</v>
      </c>
      <c r="H50" s="55"/>
      <c r="I50" s="67"/>
      <c r="J50" s="51"/>
    </row>
    <row r="51" spans="1:10" ht="15.6" x14ac:dyDescent="0.3">
      <c r="A51" s="65"/>
      <c r="B51" s="15"/>
      <c r="C51" s="8"/>
      <c r="D51" s="4">
        <f>IFERROR(_xlfn.XLOOKUP(C51,'Lista de produtos'!E:E,'Lista de produtos'!F:F,,)," ")</f>
        <v>0</v>
      </c>
      <c r="E51" s="5">
        <f>IFERROR(_xlfn.XLOOKUP(C51,'Lista de produtos'!E:E,'Lista de produtos'!G:G,,),0)</f>
        <v>0</v>
      </c>
      <c r="F51" s="10"/>
      <c r="G51" s="6">
        <f t="shared" si="1"/>
        <v>0</v>
      </c>
      <c r="H51" s="55"/>
      <c r="I51" s="67"/>
      <c r="J51" s="51"/>
    </row>
    <row r="52" spans="1:10" ht="15.6" x14ac:dyDescent="0.3">
      <c r="A52" s="65"/>
      <c r="B52" s="15"/>
      <c r="C52" s="8"/>
      <c r="D52" s="4">
        <f>IFERROR(_xlfn.XLOOKUP(C52,'Lista de produtos'!E:E,'Lista de produtos'!F:F,,)," ")</f>
        <v>0</v>
      </c>
      <c r="E52" s="5">
        <f>IFERROR(_xlfn.XLOOKUP(C52,'Lista de produtos'!E:E,'Lista de produtos'!G:G,,),0)</f>
        <v>0</v>
      </c>
      <c r="F52" s="10"/>
      <c r="G52" s="6">
        <f t="shared" si="1"/>
        <v>0</v>
      </c>
      <c r="H52" s="55"/>
      <c r="I52" s="67"/>
      <c r="J52" s="51"/>
    </row>
    <row r="53" spans="1:10" ht="15.6" x14ac:dyDescent="0.3">
      <c r="A53" s="65"/>
      <c r="B53" s="15"/>
      <c r="C53" s="8"/>
      <c r="D53" s="4">
        <f>IFERROR(_xlfn.XLOOKUP(C53,'Lista de produtos'!E:E,'Lista de produtos'!F:F,,)," ")</f>
        <v>0</v>
      </c>
      <c r="E53" s="5">
        <f>IFERROR(_xlfn.XLOOKUP(C53,'Lista de produtos'!E:E,'Lista de produtos'!G:G,,),0)</f>
        <v>0</v>
      </c>
      <c r="F53" s="10"/>
      <c r="G53" s="6">
        <f t="shared" si="1"/>
        <v>0</v>
      </c>
      <c r="H53" s="55"/>
      <c r="I53" s="67"/>
      <c r="J53" s="51"/>
    </row>
    <row r="54" spans="1:10" ht="15.6" x14ac:dyDescent="0.3">
      <c r="A54" s="65"/>
      <c r="B54" s="15"/>
      <c r="C54" s="8"/>
      <c r="D54" s="4">
        <f>IFERROR(_xlfn.XLOOKUP(C54,'Lista de produtos'!E:E,'Lista de produtos'!F:F,,)," ")</f>
        <v>0</v>
      </c>
      <c r="E54" s="5">
        <f>IFERROR(_xlfn.XLOOKUP(C54,'Lista de produtos'!E:E,'Lista de produtos'!G:G,,),0)</f>
        <v>0</v>
      </c>
      <c r="F54" s="10"/>
      <c r="G54" s="6">
        <f t="shared" si="1"/>
        <v>0</v>
      </c>
      <c r="H54" s="55"/>
      <c r="I54" s="67"/>
      <c r="J54" s="51"/>
    </row>
    <row r="55" spans="1:10" ht="15.6" x14ac:dyDescent="0.3">
      <c r="A55" s="65"/>
      <c r="B55" s="15"/>
      <c r="C55" s="8"/>
      <c r="D55" s="4">
        <f>IFERROR(_xlfn.XLOOKUP(C55,'Lista de produtos'!E:E,'Lista de produtos'!F:F,,)," ")</f>
        <v>0</v>
      </c>
      <c r="E55" s="5">
        <f>IFERROR(_xlfn.XLOOKUP(C55,'Lista de produtos'!E:E,'Lista de produtos'!G:G,,),0)</f>
        <v>0</v>
      </c>
      <c r="F55" s="10"/>
      <c r="G55" s="6">
        <f t="shared" si="1"/>
        <v>0</v>
      </c>
      <c r="H55" s="55"/>
      <c r="I55" s="67"/>
      <c r="J55" s="51"/>
    </row>
    <row r="56" spans="1:10" ht="15.6" x14ac:dyDescent="0.3">
      <c r="A56" s="65"/>
      <c r="B56" s="15"/>
      <c r="C56" s="8"/>
      <c r="D56" s="4">
        <f>IFERROR(_xlfn.XLOOKUP(C56,'Lista de produtos'!E:E,'Lista de produtos'!F:F,,)," ")</f>
        <v>0</v>
      </c>
      <c r="E56" s="5">
        <f>IFERROR(_xlfn.XLOOKUP(C56,'Lista de produtos'!E:E,'Lista de produtos'!G:G,,),0)</f>
        <v>0</v>
      </c>
      <c r="F56" s="10"/>
      <c r="G56" s="6">
        <f t="shared" si="1"/>
        <v>0</v>
      </c>
      <c r="H56" s="55"/>
      <c r="I56" s="67"/>
      <c r="J56" s="51"/>
    </row>
    <row r="57" spans="1:10" ht="15.6" x14ac:dyDescent="0.3">
      <c r="A57" s="65"/>
      <c r="B57" s="15"/>
      <c r="C57" s="9"/>
      <c r="D57" s="4">
        <f>IFERROR(_xlfn.XLOOKUP(C57,'Lista de produtos'!E:E,'Lista de produtos'!F:F,,)," ")</f>
        <v>0</v>
      </c>
      <c r="E57" s="5">
        <f>IFERROR(_xlfn.XLOOKUP(C57,'Lista de produtos'!E:E,'Lista de produtos'!G:G,,),0)</f>
        <v>0</v>
      </c>
      <c r="F57" s="11"/>
      <c r="G57" s="7">
        <f t="shared" si="1"/>
        <v>0</v>
      </c>
      <c r="H57" s="55"/>
      <c r="I57" s="67"/>
      <c r="J57" s="51"/>
    </row>
    <row r="58" spans="1:10" ht="15.6" x14ac:dyDescent="0.3">
      <c r="A58" s="65"/>
      <c r="B58" s="15"/>
      <c r="C58" s="8"/>
      <c r="D58" s="4">
        <f>IFERROR(_xlfn.XLOOKUP(C58,'Lista de produtos'!E:E,'Lista de produtos'!F:F,,)," ")</f>
        <v>0</v>
      </c>
      <c r="E58" s="5">
        <f>IFERROR(_xlfn.XLOOKUP(C58,'Lista de produtos'!E:E,'Lista de produtos'!G:G,,),0)</f>
        <v>0</v>
      </c>
      <c r="F58" s="10"/>
      <c r="G58" s="6">
        <f t="shared" si="1"/>
        <v>0</v>
      </c>
      <c r="H58" s="55"/>
      <c r="I58" s="67"/>
      <c r="J58" s="51"/>
    </row>
    <row r="59" spans="1:10" ht="15.6" x14ac:dyDescent="0.3">
      <c r="A59" s="65"/>
      <c r="B59" s="15"/>
      <c r="C59" s="15"/>
      <c r="D59" s="15"/>
      <c r="E59" s="15"/>
      <c r="F59" s="15"/>
      <c r="G59" s="15"/>
      <c r="H59" s="48"/>
      <c r="I59" s="65"/>
      <c r="J59" s="51"/>
    </row>
    <row r="60" spans="1:10" ht="9" customHeight="1" x14ac:dyDescent="0.3">
      <c r="A60" s="65"/>
      <c r="B60" s="65"/>
      <c r="C60" s="65"/>
      <c r="D60" s="69"/>
      <c r="E60" s="70"/>
      <c r="F60" s="71"/>
      <c r="G60" s="68"/>
      <c r="H60" s="72"/>
      <c r="I60" s="68"/>
      <c r="J60" s="51"/>
    </row>
    <row r="61" spans="1:10" ht="15.6" x14ac:dyDescent="0.3">
      <c r="J61" s="51"/>
    </row>
    <row r="63" spans="1:10" x14ac:dyDescent="0.3">
      <c r="J63" s="52"/>
    </row>
  </sheetData>
  <autoFilter ref="C8:G8" xr:uid="{6C669FB6-F7B7-44FA-8CDB-DC5661242CF3}">
    <sortState xmlns:xlrd2="http://schemas.microsoft.com/office/spreadsheetml/2017/richdata2" ref="C9:G58">
      <sortCondition ref="C8"/>
    </sortState>
  </autoFilter>
  <mergeCells count="1">
    <mergeCell ref="C7:G7"/>
  </mergeCells>
  <dataValidations count="3">
    <dataValidation type="list" allowBlank="1" showInputMessage="1" showErrorMessage="1" sqref="E5" xr:uid="{D42B53D7-1554-4A90-8D7A-D6161A4D6CB8}">
      <mc:AlternateContent xmlns:x12ac="http://schemas.microsoft.com/office/spreadsheetml/2011/1/ac" xmlns:mc="http://schemas.openxmlformats.org/markup-compatibility/2006">
        <mc:Choice Requires="x12ac">
          <x12ac:list>"0,1","0,2","0,3","0,4","0,5","0,6","0,7","0,8","0,9","1,0"</x12ac:list>
        </mc:Choice>
        <mc:Fallback>
          <formula1>"0,1,0,2,0,3,0,4,0,5,0,6,0,7,0,8,0,9,1,0"</formula1>
        </mc:Fallback>
      </mc:AlternateContent>
    </dataValidation>
    <dataValidation type="list" allowBlank="1" showInputMessage="1" showErrorMessage="1" sqref="M14:M15" xr:uid="{D1BF31B6-B00A-49C8-99F6-70233A2F0AC0}">
      <mc:AlternateContent xmlns:x12ac="http://schemas.microsoft.com/office/spreadsheetml/2011/1/ac" xmlns:mc="http://schemas.openxmlformats.org/markup-compatibility/2006">
        <mc:Choice Requires="x12ac">
          <x12ac:list>"0,0","0,01","0,02","0,03","0,04","0,05","0,06","0,07","0,08","0,09"</x12ac:list>
        </mc:Choice>
        <mc:Fallback>
          <formula1>"0,0,0,01,0,02,0,03,0,04,0,05,0,06,0,07,0,08,0,09"</formula1>
        </mc:Fallback>
      </mc:AlternateContent>
    </dataValidation>
    <dataValidation type="list" allowBlank="1" showInputMessage="1" showErrorMessage="1" sqref="D5" xr:uid="{C26BE0AE-7502-499C-8A3B-DEC307004695}">
      <mc:AlternateContent xmlns:x12ac="http://schemas.microsoft.com/office/spreadsheetml/2011/1/ac" xmlns:mc="http://schemas.openxmlformats.org/markup-compatibility/2006">
        <mc:Choice Requires="x12ac">
          <x12ac:list>"0,1","0,2","0,3","0,4","0,5","0,6","0,7","0,8","0,9","0,10"</x12ac:list>
        </mc:Choice>
        <mc:Fallback>
          <formula1>"0,1,0,2,0,3,0,4,0,5,0,6,0,7,0,8,0,9,0,10"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69FB6-F7B7-44FA-8CDB-DC5661242CF3}">
  <sheetPr codeName="Planilha2"/>
  <dimension ref="A1:N64"/>
  <sheetViews>
    <sheetView showGridLines="0" zoomScale="70" zoomScaleNormal="70" workbookViewId="0">
      <selection activeCell="L31" sqref="L31"/>
    </sheetView>
  </sheetViews>
  <sheetFormatPr defaultRowHeight="14.4" x14ac:dyDescent="0.3"/>
  <cols>
    <col min="1" max="1" width="2.77734375" style="54" customWidth="1"/>
    <col min="2" max="2" width="4.77734375" style="54" customWidth="1"/>
    <col min="3" max="3" width="29.44140625" style="41" customWidth="1"/>
    <col min="4" max="4" width="27" style="41" bestFit="1" customWidth="1"/>
    <col min="5" max="5" width="17.33203125" style="41" bestFit="1" customWidth="1"/>
    <col min="6" max="6" width="16.6640625" style="41" bestFit="1" customWidth="1"/>
    <col min="7" max="7" width="16.44140625" style="41" bestFit="1" customWidth="1"/>
    <col min="8" max="8" width="8.33203125" style="41" customWidth="1"/>
    <col min="9" max="9" width="2.44140625" style="41" customWidth="1"/>
    <col min="10" max="10" width="12.109375" style="41" customWidth="1"/>
    <col min="11" max="11" width="7.5546875" style="41" customWidth="1"/>
    <col min="12" max="12" width="31.21875" style="41" customWidth="1"/>
    <col min="13" max="13" width="15.6640625" style="41" customWidth="1"/>
    <col min="14" max="14" width="7.5546875" style="41" customWidth="1"/>
    <col min="15" max="21" width="8.77734375" style="41"/>
    <col min="22" max="23" width="18" style="41" customWidth="1"/>
    <col min="24" max="40" width="8.77734375" style="41"/>
    <col min="41" max="16384" width="8.88671875" style="41"/>
  </cols>
  <sheetData>
    <row r="1" spans="1:14" x14ac:dyDescent="0.3">
      <c r="A1" s="66"/>
      <c r="B1" s="66"/>
      <c r="C1" s="65"/>
      <c r="D1" s="65"/>
      <c r="E1" s="65"/>
      <c r="F1" s="65"/>
      <c r="G1" s="65"/>
      <c r="H1" s="65"/>
      <c r="I1" s="65"/>
    </row>
    <row r="2" spans="1:14" x14ac:dyDescent="0.3">
      <c r="A2" s="66"/>
      <c r="B2" s="48"/>
      <c r="C2" s="15"/>
      <c r="D2" s="15"/>
      <c r="E2" s="15"/>
      <c r="F2" s="15"/>
      <c r="G2" s="15"/>
      <c r="H2" s="15"/>
      <c r="I2" s="65"/>
    </row>
    <row r="3" spans="1:14" x14ac:dyDescent="0.3">
      <c r="A3" s="66"/>
      <c r="B3" s="48"/>
      <c r="C3" s="15"/>
      <c r="D3" s="15"/>
      <c r="E3" s="15"/>
      <c r="F3" s="15"/>
      <c r="G3" s="15"/>
      <c r="H3" s="15"/>
      <c r="I3" s="65"/>
    </row>
    <row r="4" spans="1:14" x14ac:dyDescent="0.3">
      <c r="A4" s="66"/>
      <c r="B4" s="48"/>
      <c r="C4" s="15"/>
      <c r="D4" s="13" t="s">
        <v>27</v>
      </c>
      <c r="E4" s="13" t="s">
        <v>18</v>
      </c>
      <c r="F4" s="15"/>
      <c r="G4" s="15"/>
      <c r="H4" s="15"/>
      <c r="I4" s="65"/>
    </row>
    <row r="5" spans="1:14" ht="18" x14ac:dyDescent="0.35">
      <c r="A5" s="66"/>
      <c r="B5" s="48"/>
      <c r="C5" s="15"/>
      <c r="D5" s="14">
        <v>0.3</v>
      </c>
      <c r="E5" s="14">
        <v>0.4</v>
      </c>
      <c r="F5" s="15"/>
      <c r="G5" s="15"/>
      <c r="H5" s="15"/>
      <c r="I5" s="65"/>
      <c r="K5" s="76"/>
      <c r="L5" s="23" t="s">
        <v>54</v>
      </c>
      <c r="M5" s="24"/>
      <c r="N5" s="76"/>
    </row>
    <row r="6" spans="1:14" ht="15.6" x14ac:dyDescent="0.3">
      <c r="A6" s="66"/>
      <c r="B6" s="48"/>
      <c r="C6" s="15"/>
      <c r="D6" s="15"/>
      <c r="E6" s="15"/>
      <c r="F6" s="15"/>
      <c r="G6" s="15"/>
      <c r="H6" s="15"/>
      <c r="I6" s="65"/>
      <c r="K6" s="40"/>
      <c r="L6" s="18"/>
      <c r="M6" s="19"/>
      <c r="N6" s="40"/>
    </row>
    <row r="7" spans="1:14" x14ac:dyDescent="0.3">
      <c r="A7" s="66"/>
      <c r="B7" s="48"/>
      <c r="C7" s="15"/>
      <c r="D7" s="15"/>
      <c r="E7" s="15"/>
      <c r="F7" s="15"/>
      <c r="G7" s="15"/>
      <c r="H7" s="15"/>
      <c r="I7" s="65"/>
      <c r="K7" s="15"/>
      <c r="L7" s="27" t="s">
        <v>19</v>
      </c>
      <c r="M7" s="28" t="s">
        <v>20</v>
      </c>
      <c r="N7" s="15"/>
    </row>
    <row r="8" spans="1:14" ht="23.4" x14ac:dyDescent="0.45">
      <c r="A8" s="66"/>
      <c r="B8" s="48"/>
      <c r="C8" s="84" t="s">
        <v>17</v>
      </c>
      <c r="D8" s="84"/>
      <c r="E8" s="84"/>
      <c r="F8" s="84"/>
      <c r="G8" s="84"/>
      <c r="H8" s="16"/>
      <c r="I8" s="73"/>
      <c r="J8" s="80"/>
      <c r="K8" s="15"/>
      <c r="L8" s="61" t="s">
        <v>21</v>
      </c>
      <c r="M8" s="61">
        <f>SUM(G10:G59)</f>
        <v>46.33925639097744</v>
      </c>
      <c r="N8" s="15"/>
    </row>
    <row r="9" spans="1:14" ht="15.6" customHeight="1" x14ac:dyDescent="0.3">
      <c r="A9" s="66"/>
      <c r="B9" s="48"/>
      <c r="C9" s="12" t="s">
        <v>14</v>
      </c>
      <c r="D9" s="12" t="s">
        <v>1</v>
      </c>
      <c r="E9" s="12" t="s">
        <v>2</v>
      </c>
      <c r="F9" s="12" t="s">
        <v>15</v>
      </c>
      <c r="G9" s="12" t="s">
        <v>16</v>
      </c>
      <c r="H9" s="17"/>
      <c r="I9" s="74"/>
      <c r="J9" s="81"/>
      <c r="K9" s="15"/>
      <c r="L9" s="61" t="s">
        <v>22</v>
      </c>
      <c r="M9" s="61">
        <f>M8*$D$5</f>
        <v>13.901776917293232</v>
      </c>
      <c r="N9" s="15"/>
    </row>
    <row r="10" spans="1:14" ht="15.6" x14ac:dyDescent="0.3">
      <c r="A10" s="66"/>
      <c r="B10" s="48"/>
      <c r="C10" s="8" t="s">
        <v>4</v>
      </c>
      <c r="D10" s="4">
        <f>IFERROR(_xlfn.XLOOKUP(C10,'Lista de produtos'!E:E,'Lista de produtos'!F:F,,)," ")</f>
        <v>1000</v>
      </c>
      <c r="E10" s="5">
        <f>IFERROR(_xlfn.XLOOKUP(C10,'Lista de produtos'!E:E,'Lista de produtos'!G:G,,),0)</f>
        <v>5</v>
      </c>
      <c r="F10" s="10">
        <v>90</v>
      </c>
      <c r="G10" s="6">
        <f t="shared" ref="G10:G34" si="0">IFERROR(E10/D10*F10,0)</f>
        <v>0.45</v>
      </c>
      <c r="H10" s="18"/>
      <c r="I10" s="67"/>
      <c r="J10" s="51"/>
      <c r="K10" s="15"/>
      <c r="L10" s="61" t="s">
        <v>23</v>
      </c>
      <c r="M10" s="61">
        <f>(M8+M9)*$E$5</f>
        <v>24.096413323308269</v>
      </c>
      <c r="N10" s="15"/>
    </row>
    <row r="11" spans="1:14" ht="15.6" x14ac:dyDescent="0.3">
      <c r="A11" s="66"/>
      <c r="B11" s="48"/>
      <c r="C11" s="8" t="s">
        <v>35</v>
      </c>
      <c r="D11" s="4">
        <f>IFERROR(_xlfn.XLOOKUP(C11,'Lista de produtos'!E:E,'Lista de produtos'!F:F,,)," ")</f>
        <v>1</v>
      </c>
      <c r="E11" s="5">
        <f>IFERROR(_xlfn.XLOOKUP(C11,'Lista de produtos'!E:E,'Lista de produtos'!G:G,,),0)</f>
        <v>4</v>
      </c>
      <c r="F11" s="10">
        <v>1</v>
      </c>
      <c r="G11" s="6">
        <f t="shared" si="0"/>
        <v>4</v>
      </c>
      <c r="H11" s="18"/>
      <c r="I11" s="67"/>
      <c r="J11" s="51"/>
      <c r="K11" s="15"/>
      <c r="L11" s="61"/>
      <c r="M11" s="61"/>
      <c r="N11" s="15"/>
    </row>
    <row r="12" spans="1:14" ht="15.6" x14ac:dyDescent="0.3">
      <c r="A12" s="66"/>
      <c r="B12" s="48"/>
      <c r="C12" s="8" t="s">
        <v>38</v>
      </c>
      <c r="D12" s="4">
        <f>IFERROR(_xlfn.XLOOKUP(C12,'Lista de produtos'!E:E,'Lista de produtos'!F:F,,)," ")</f>
        <v>1</v>
      </c>
      <c r="E12" s="5">
        <f>IFERROR(_xlfn.XLOOKUP(C12,'Lista de produtos'!E:E,'Lista de produtos'!G:G,,),0)</f>
        <v>7</v>
      </c>
      <c r="F12" s="10">
        <v>1</v>
      </c>
      <c r="G12" s="6">
        <f t="shared" si="0"/>
        <v>7</v>
      </c>
      <c r="H12" s="18"/>
      <c r="I12" s="67"/>
      <c r="J12" s="51"/>
      <c r="K12" s="15"/>
      <c r="L12" s="61" t="s">
        <v>25</v>
      </c>
      <c r="M12" s="61"/>
      <c r="N12" s="15"/>
    </row>
    <row r="13" spans="1:14" ht="15.6" x14ac:dyDescent="0.3">
      <c r="A13" s="66"/>
      <c r="B13" s="48"/>
      <c r="C13" s="8" t="s">
        <v>11</v>
      </c>
      <c r="D13" s="4">
        <f>IFERROR(_xlfn.XLOOKUP(C13,'Lista de produtos'!E:E,'Lista de produtos'!F:F,,)," ")</f>
        <v>1000</v>
      </c>
      <c r="E13" s="5">
        <f>IFERROR(_xlfn.XLOOKUP(C13,'Lista de produtos'!E:E,'Lista de produtos'!G:G,,),0)</f>
        <v>20.888999999999999</v>
      </c>
      <c r="F13" s="10">
        <v>300</v>
      </c>
      <c r="G13" s="6">
        <f t="shared" si="0"/>
        <v>6.2666999999999993</v>
      </c>
      <c r="H13" s="18"/>
      <c r="I13" s="67"/>
      <c r="J13" s="51"/>
      <c r="K13" s="15"/>
      <c r="L13" s="61" t="s">
        <v>24</v>
      </c>
      <c r="M13" s="62">
        <v>0.01</v>
      </c>
      <c r="N13" s="15"/>
    </row>
    <row r="14" spans="1:14" ht="17.399999999999999" customHeight="1" x14ac:dyDescent="0.3">
      <c r="A14" s="66"/>
      <c r="B14" s="48"/>
      <c r="C14" s="8" t="s">
        <v>48</v>
      </c>
      <c r="D14" s="4">
        <f>IFERROR(_xlfn.XLOOKUP(C14,'Lista de produtos'!E:E,'Lista de produtos'!F:F,,)," ")</f>
        <v>380</v>
      </c>
      <c r="E14" s="5">
        <f>IFERROR(_xlfn.XLOOKUP(C14,'Lista de produtos'!E:E,'Lista de produtos'!G:G,,),0)</f>
        <v>22</v>
      </c>
      <c r="F14" s="10">
        <v>30</v>
      </c>
      <c r="G14" s="6">
        <f t="shared" si="0"/>
        <v>1.736842105263158</v>
      </c>
      <c r="H14" s="18"/>
      <c r="I14" s="67"/>
      <c r="J14" s="51"/>
      <c r="K14" s="15"/>
      <c r="L14" s="61" t="s">
        <v>26</v>
      </c>
      <c r="M14" s="62">
        <v>0</v>
      </c>
      <c r="N14" s="15"/>
    </row>
    <row r="15" spans="1:14" ht="18" x14ac:dyDescent="0.35">
      <c r="A15" s="66"/>
      <c r="B15" s="48"/>
      <c r="C15" s="8" t="s">
        <v>7</v>
      </c>
      <c r="D15" s="4">
        <f>IFERROR(_xlfn.XLOOKUP(C15,'Lista de produtos'!E:E,'Lista de produtos'!F:F,,)," ")</f>
        <v>200</v>
      </c>
      <c r="E15" s="5">
        <f>IFERROR(_xlfn.XLOOKUP(C15,'Lista de produtos'!E:E,'Lista de produtos'!G:G,,),0)</f>
        <v>3</v>
      </c>
      <c r="F15" s="10">
        <v>200</v>
      </c>
      <c r="G15" s="6">
        <f t="shared" si="0"/>
        <v>3</v>
      </c>
      <c r="H15" s="18"/>
      <c r="I15" s="67"/>
      <c r="J15" s="51"/>
      <c r="K15" s="15"/>
      <c r="L15" s="85" t="s">
        <v>64</v>
      </c>
      <c r="M15" s="59">
        <f>SUM(M8:M9,M12)*(1+M13+M14)</f>
        <v>60.843443641353382</v>
      </c>
      <c r="N15" s="15"/>
    </row>
    <row r="16" spans="1:14" ht="21" x14ac:dyDescent="0.4">
      <c r="A16" s="66"/>
      <c r="B16" s="48"/>
      <c r="C16" s="8" t="s">
        <v>5</v>
      </c>
      <c r="D16" s="4">
        <f>IFERROR(_xlfn.XLOOKUP(C16,'Lista de produtos'!E:E,'Lista de produtos'!F:F,,)," ")</f>
        <v>1000</v>
      </c>
      <c r="E16" s="5">
        <f>IFERROR(_xlfn.XLOOKUP(C16,'Lista de produtos'!E:E,'Lista de produtos'!G:G,,),0)</f>
        <v>5</v>
      </c>
      <c r="F16" s="10">
        <v>120</v>
      </c>
      <c r="G16" s="6">
        <f t="shared" si="0"/>
        <v>0.6</v>
      </c>
      <c r="H16" s="18"/>
      <c r="I16" s="67"/>
      <c r="J16" s="51"/>
      <c r="K16" s="15"/>
      <c r="L16" s="29" t="s">
        <v>28</v>
      </c>
      <c r="M16" s="30">
        <f>SUM(M8:M10,M12)*(1+M13+M14)</f>
        <v>85.180821097894736</v>
      </c>
      <c r="N16" s="15"/>
    </row>
    <row r="17" spans="1:14" ht="15.6" x14ac:dyDescent="0.3">
      <c r="A17" s="66"/>
      <c r="B17" s="48"/>
      <c r="C17" s="8" t="s">
        <v>6</v>
      </c>
      <c r="D17" s="4">
        <f>IFERROR(_xlfn.XLOOKUP(C17,'Lista de produtos'!E:E,'Lista de produtos'!F:F,,)," ")</f>
        <v>395</v>
      </c>
      <c r="E17" s="5">
        <f>IFERROR(_xlfn.XLOOKUP(C17,'Lista de produtos'!E:E,'Lista de produtos'!G:G,,),0)</f>
        <v>6</v>
      </c>
      <c r="F17" s="10">
        <v>395</v>
      </c>
      <c r="G17" s="6">
        <f t="shared" si="0"/>
        <v>6</v>
      </c>
      <c r="H17" s="18"/>
      <c r="I17" s="67"/>
      <c r="J17" s="51"/>
      <c r="K17" s="15"/>
      <c r="L17" s="15"/>
      <c r="M17" s="15"/>
      <c r="N17" s="15"/>
    </row>
    <row r="18" spans="1:14" ht="15.6" x14ac:dyDescent="0.3">
      <c r="A18" s="66"/>
      <c r="B18" s="48"/>
      <c r="C18" s="8" t="s">
        <v>3</v>
      </c>
      <c r="D18" s="4">
        <f>IFERROR(_xlfn.XLOOKUP(C18,'Lista de produtos'!E:E,'Lista de produtos'!F:F,,)," ")</f>
        <v>30</v>
      </c>
      <c r="E18" s="5">
        <f>IFERROR(_xlfn.XLOOKUP(C18,'Lista de produtos'!E:E,'Lista de produtos'!G:G,,),0)</f>
        <v>20</v>
      </c>
      <c r="F18" s="10">
        <v>3</v>
      </c>
      <c r="G18" s="6">
        <f t="shared" si="0"/>
        <v>2</v>
      </c>
      <c r="H18" s="18"/>
      <c r="I18" s="67"/>
      <c r="J18" s="51"/>
      <c r="K18" s="15"/>
      <c r="L18" s="15"/>
      <c r="M18" s="15"/>
      <c r="N18" s="15"/>
    </row>
    <row r="19" spans="1:14" ht="15.6" x14ac:dyDescent="0.3">
      <c r="A19" s="66"/>
      <c r="B19" s="48"/>
      <c r="C19" s="8" t="s">
        <v>10</v>
      </c>
      <c r="D19" s="4">
        <f>IFERROR(_xlfn.XLOOKUP(C19,'Lista de produtos'!E:E,'Lista de produtos'!F:F,,)," ")</f>
        <v>1</v>
      </c>
      <c r="E19" s="5">
        <f>IFERROR(_xlfn.XLOOKUP(C19,'Lista de produtos'!E:E,'Lista de produtos'!G:G,,),0)</f>
        <v>35</v>
      </c>
      <c r="F19" s="10">
        <v>0</v>
      </c>
      <c r="G19" s="6">
        <f t="shared" si="0"/>
        <v>0</v>
      </c>
      <c r="H19" s="18"/>
      <c r="I19" s="67"/>
      <c r="J19" s="51"/>
    </row>
    <row r="20" spans="1:14" ht="15.6" x14ac:dyDescent="0.3">
      <c r="A20" s="66"/>
      <c r="B20" s="48"/>
      <c r="C20" s="8" t="s">
        <v>49</v>
      </c>
      <c r="D20" s="4">
        <f>IFERROR(_xlfn.XLOOKUP(C20,'Lista de produtos'!E:E,'Lista de produtos'!F:F,,)," ")</f>
        <v>350</v>
      </c>
      <c r="E20" s="5">
        <f>IFERROR(_xlfn.XLOOKUP(C20,'Lista de produtos'!E:E,'Lista de produtos'!G:G,,),0)</f>
        <v>50</v>
      </c>
      <c r="F20" s="10">
        <v>100</v>
      </c>
      <c r="G20" s="6">
        <f t="shared" si="0"/>
        <v>14.285714285714285</v>
      </c>
      <c r="H20" s="18"/>
      <c r="I20" s="67"/>
      <c r="J20" s="51"/>
    </row>
    <row r="21" spans="1:14" ht="15.6" x14ac:dyDescent="0.3">
      <c r="A21" s="66"/>
      <c r="B21" s="48"/>
      <c r="C21" s="8" t="s">
        <v>46</v>
      </c>
      <c r="D21" s="4">
        <f>IFERROR(_xlfn.XLOOKUP(C21,'Lista de produtos'!E:E,'Lista de produtos'!F:F,,)," ")</f>
        <v>1000</v>
      </c>
      <c r="E21" s="5">
        <f>IFERROR(_xlfn.XLOOKUP(C21,'Lista de produtos'!E:E,'Lista de produtos'!G:G,,),0)</f>
        <v>5</v>
      </c>
      <c r="F21" s="10">
        <v>200</v>
      </c>
      <c r="G21" s="6">
        <f t="shared" si="0"/>
        <v>1</v>
      </c>
      <c r="H21" s="18"/>
      <c r="I21" s="67"/>
      <c r="J21" s="51"/>
    </row>
    <row r="22" spans="1:14" ht="15.6" x14ac:dyDescent="0.3">
      <c r="A22" s="66"/>
      <c r="B22" s="48"/>
      <c r="C22" s="8"/>
      <c r="D22" s="4">
        <f>IFERROR(_xlfn.XLOOKUP(C22,'Lista de produtos'!E:E,'Lista de produtos'!F:F,,)," ")</f>
        <v>0</v>
      </c>
      <c r="E22" s="5">
        <f>IFERROR(_xlfn.XLOOKUP(C22,'Lista de produtos'!E:E,'Lista de produtos'!G:G,,),0)</f>
        <v>0</v>
      </c>
      <c r="F22" s="10"/>
      <c r="G22" s="6">
        <f t="shared" si="0"/>
        <v>0</v>
      </c>
      <c r="H22" s="18"/>
      <c r="I22" s="67"/>
      <c r="J22" s="51"/>
      <c r="L22" s="75"/>
      <c r="M22" s="53"/>
    </row>
    <row r="23" spans="1:14" ht="15.6" x14ac:dyDescent="0.3">
      <c r="A23" s="66"/>
      <c r="B23" s="48"/>
      <c r="C23" s="8"/>
      <c r="D23" s="4">
        <f>IFERROR(_xlfn.XLOOKUP(C23,'Lista de produtos'!E:E,'Lista de produtos'!F:F,,)," ")</f>
        <v>0</v>
      </c>
      <c r="E23" s="5">
        <f>IFERROR(_xlfn.XLOOKUP(C23,'Lista de produtos'!E:E,'Lista de produtos'!G:G,,),0)</f>
        <v>0</v>
      </c>
      <c r="F23" s="10"/>
      <c r="G23" s="6">
        <f t="shared" si="0"/>
        <v>0</v>
      </c>
      <c r="H23" s="18"/>
      <c r="I23" s="67"/>
      <c r="J23" s="51"/>
    </row>
    <row r="24" spans="1:14" ht="15.6" x14ac:dyDescent="0.3">
      <c r="A24" s="66"/>
      <c r="B24" s="48"/>
      <c r="C24" s="8"/>
      <c r="D24" s="4">
        <f>IFERROR(_xlfn.XLOOKUP(C24,'Lista de produtos'!E:E,'Lista de produtos'!F:F,,)," ")</f>
        <v>0</v>
      </c>
      <c r="E24" s="5">
        <f>IFERROR(_xlfn.XLOOKUP(C24,'Lista de produtos'!E:E,'Lista de produtos'!G:G,,),0)</f>
        <v>0</v>
      </c>
      <c r="F24" s="10"/>
      <c r="G24" s="6">
        <f t="shared" si="0"/>
        <v>0</v>
      </c>
      <c r="H24" s="18"/>
      <c r="I24" s="67"/>
      <c r="J24" s="51"/>
    </row>
    <row r="25" spans="1:14" ht="15.6" x14ac:dyDescent="0.3">
      <c r="A25" s="66"/>
      <c r="B25" s="48"/>
      <c r="C25" s="8"/>
      <c r="D25" s="4">
        <f>IFERROR(_xlfn.XLOOKUP(C25,'Lista de produtos'!E:E,'Lista de produtos'!F:F,,)," ")</f>
        <v>0</v>
      </c>
      <c r="E25" s="5">
        <f>IFERROR(_xlfn.XLOOKUP(C25,'Lista de produtos'!E:E,'Lista de produtos'!G:G,,),0)</f>
        <v>0</v>
      </c>
      <c r="F25" s="10"/>
      <c r="G25" s="6">
        <f t="shared" si="0"/>
        <v>0</v>
      </c>
      <c r="H25" s="18"/>
      <c r="I25" s="67"/>
      <c r="J25" s="51"/>
      <c r="K25" s="51"/>
    </row>
    <row r="26" spans="1:14" ht="15.6" x14ac:dyDescent="0.3">
      <c r="A26" s="66"/>
      <c r="B26" s="48"/>
      <c r="C26" s="8"/>
      <c r="D26" s="4">
        <f>IFERROR(_xlfn.XLOOKUP(C26,'Lista de produtos'!E:E,'Lista de produtos'!F:F,,)," ")</f>
        <v>0</v>
      </c>
      <c r="E26" s="5">
        <f>IFERROR(_xlfn.XLOOKUP(C26,'Lista de produtos'!E:E,'Lista de produtos'!G:G,,),0)</f>
        <v>0</v>
      </c>
      <c r="F26" s="10"/>
      <c r="G26" s="6">
        <f t="shared" si="0"/>
        <v>0</v>
      </c>
      <c r="H26" s="18"/>
      <c r="I26" s="67"/>
      <c r="J26" s="51"/>
      <c r="K26" s="51"/>
    </row>
    <row r="27" spans="1:14" ht="15.6" x14ac:dyDescent="0.3">
      <c r="A27" s="66"/>
      <c r="B27" s="48"/>
      <c r="C27" s="8"/>
      <c r="D27" s="4">
        <f>IFERROR(_xlfn.XLOOKUP(C27,'Lista de produtos'!E:E,'Lista de produtos'!F:F,,)," ")</f>
        <v>0</v>
      </c>
      <c r="E27" s="5">
        <f>IFERROR(_xlfn.XLOOKUP(C27,'Lista de produtos'!E:E,'Lista de produtos'!G:G,,),0)</f>
        <v>0</v>
      </c>
      <c r="F27" s="10"/>
      <c r="G27" s="6">
        <f t="shared" si="0"/>
        <v>0</v>
      </c>
      <c r="H27" s="18"/>
      <c r="I27" s="67"/>
      <c r="J27" s="51"/>
      <c r="K27" s="51"/>
    </row>
    <row r="28" spans="1:14" ht="15.6" x14ac:dyDescent="0.3">
      <c r="A28" s="66"/>
      <c r="B28" s="48"/>
      <c r="C28" s="8"/>
      <c r="D28" s="4">
        <f>IFERROR(_xlfn.XLOOKUP(C28,'Lista de produtos'!E:E,'Lista de produtos'!F:F,,)," ")</f>
        <v>0</v>
      </c>
      <c r="E28" s="5">
        <f>IFERROR(_xlfn.XLOOKUP(C28,'Lista de produtos'!E:E,'Lista de produtos'!G:G,,),0)</f>
        <v>0</v>
      </c>
      <c r="F28" s="10"/>
      <c r="G28" s="6">
        <f t="shared" si="0"/>
        <v>0</v>
      </c>
      <c r="H28" s="18"/>
      <c r="I28" s="67"/>
      <c r="J28" s="51"/>
      <c r="K28" s="51"/>
    </row>
    <row r="29" spans="1:14" ht="15.6" x14ac:dyDescent="0.3">
      <c r="A29" s="66"/>
      <c r="B29" s="48"/>
      <c r="C29" s="8"/>
      <c r="D29" s="4">
        <f>IFERROR(_xlfn.XLOOKUP(C29,'Lista de produtos'!E:E,'Lista de produtos'!F:F,,)," ")</f>
        <v>0</v>
      </c>
      <c r="E29" s="5">
        <f>IFERROR(_xlfn.XLOOKUP(C29,'Lista de produtos'!E:E,'Lista de produtos'!G:G,,),0)</f>
        <v>0</v>
      </c>
      <c r="F29" s="10"/>
      <c r="G29" s="6">
        <f t="shared" si="0"/>
        <v>0</v>
      </c>
      <c r="H29" s="18"/>
      <c r="I29" s="67"/>
      <c r="J29" s="51"/>
      <c r="K29" s="51"/>
    </row>
    <row r="30" spans="1:14" ht="15.6" x14ac:dyDescent="0.3">
      <c r="A30" s="66"/>
      <c r="B30" s="48"/>
      <c r="C30" s="8"/>
      <c r="D30" s="4">
        <f>IFERROR(_xlfn.XLOOKUP(C30,'Lista de produtos'!E:E,'Lista de produtos'!F:F,,)," ")</f>
        <v>0</v>
      </c>
      <c r="E30" s="5">
        <f>IFERROR(_xlfn.XLOOKUP(C30,'Lista de produtos'!E:E,'Lista de produtos'!G:G,,),0)</f>
        <v>0</v>
      </c>
      <c r="F30" s="10"/>
      <c r="G30" s="6">
        <f t="shared" si="0"/>
        <v>0</v>
      </c>
      <c r="H30" s="18"/>
      <c r="I30" s="67"/>
      <c r="J30" s="51"/>
      <c r="K30" s="51"/>
    </row>
    <row r="31" spans="1:14" ht="15.6" x14ac:dyDescent="0.3">
      <c r="A31" s="66"/>
      <c r="B31" s="48"/>
      <c r="C31" s="8"/>
      <c r="D31" s="4">
        <f>IFERROR(_xlfn.XLOOKUP(C31,'Lista de produtos'!E:E,'Lista de produtos'!F:F,,)," ")</f>
        <v>0</v>
      </c>
      <c r="E31" s="5">
        <f>IFERROR(_xlfn.XLOOKUP(C31,'Lista de produtos'!E:E,'Lista de produtos'!G:G,,),0)</f>
        <v>0</v>
      </c>
      <c r="F31" s="10"/>
      <c r="G31" s="6">
        <f t="shared" si="0"/>
        <v>0</v>
      </c>
      <c r="H31" s="18"/>
      <c r="I31" s="67"/>
      <c r="J31" s="51"/>
      <c r="K31" s="51"/>
    </row>
    <row r="32" spans="1:14" ht="15.6" x14ac:dyDescent="0.3">
      <c r="A32" s="66"/>
      <c r="B32" s="48"/>
      <c r="C32" s="8"/>
      <c r="D32" s="4">
        <f>IFERROR(_xlfn.XLOOKUP(C32,'Lista de produtos'!E:E,'Lista de produtos'!F:F,,)," ")</f>
        <v>0</v>
      </c>
      <c r="E32" s="5">
        <f>IFERROR(_xlfn.XLOOKUP(C32,'Lista de produtos'!E:E,'Lista de produtos'!G:G,,),0)</f>
        <v>0</v>
      </c>
      <c r="F32" s="10"/>
      <c r="G32" s="6">
        <f t="shared" si="0"/>
        <v>0</v>
      </c>
      <c r="H32" s="18"/>
      <c r="I32" s="67"/>
      <c r="J32" s="51"/>
      <c r="K32" s="51"/>
    </row>
    <row r="33" spans="1:11" ht="15.6" x14ac:dyDescent="0.3">
      <c r="A33" s="66"/>
      <c r="B33" s="48"/>
      <c r="C33" s="8"/>
      <c r="D33" s="4">
        <f>IFERROR(_xlfn.XLOOKUP(C33,'Lista de produtos'!E:E,'Lista de produtos'!F:F,,)," ")</f>
        <v>0</v>
      </c>
      <c r="E33" s="5">
        <f>IFERROR(_xlfn.XLOOKUP(C33,'Lista de produtos'!E:E,'Lista de produtos'!G:G,,),0)</f>
        <v>0</v>
      </c>
      <c r="F33" s="10"/>
      <c r="G33" s="6">
        <f t="shared" si="0"/>
        <v>0</v>
      </c>
      <c r="H33" s="18"/>
      <c r="I33" s="67"/>
      <c r="J33" s="51"/>
      <c r="K33" s="51"/>
    </row>
    <row r="34" spans="1:11" ht="15.6" x14ac:dyDescent="0.3">
      <c r="A34" s="66"/>
      <c r="B34" s="48"/>
      <c r="C34" s="8"/>
      <c r="D34" s="4">
        <f>IFERROR(_xlfn.XLOOKUP(C34,'Lista de produtos'!E:E,'Lista de produtos'!F:F,,)," ")</f>
        <v>0</v>
      </c>
      <c r="E34" s="5">
        <f>IFERROR(_xlfn.XLOOKUP(C34,'Lista de produtos'!E:E,'Lista de produtos'!G:G,,),0)</f>
        <v>0</v>
      </c>
      <c r="F34" s="10"/>
      <c r="G34" s="6">
        <f t="shared" si="0"/>
        <v>0</v>
      </c>
      <c r="H34" s="18"/>
      <c r="I34" s="67"/>
      <c r="J34" s="51"/>
      <c r="K34" s="51"/>
    </row>
    <row r="35" spans="1:11" ht="15.6" x14ac:dyDescent="0.3">
      <c r="A35" s="66"/>
      <c r="B35" s="48"/>
      <c r="C35" s="8"/>
      <c r="D35" s="4">
        <f>IFERROR(_xlfn.XLOOKUP(C35,'Lista de produtos'!E:E,'Lista de produtos'!F:F,,)," ")</f>
        <v>0</v>
      </c>
      <c r="E35" s="5">
        <f>IFERROR(_xlfn.XLOOKUP(C35,'Lista de produtos'!E:E,'Lista de produtos'!G:G,,),0)</f>
        <v>0</v>
      </c>
      <c r="F35" s="10"/>
      <c r="G35" s="6">
        <f>IFERROR(#REF!/D35*F35,0)</f>
        <v>0</v>
      </c>
      <c r="H35" s="18"/>
      <c r="I35" s="67"/>
      <c r="J35" s="51"/>
      <c r="K35" s="51"/>
    </row>
    <row r="36" spans="1:11" ht="15.6" x14ac:dyDescent="0.3">
      <c r="A36" s="66"/>
      <c r="B36" s="48"/>
      <c r="C36" s="8"/>
      <c r="D36" s="4">
        <f>IFERROR(_xlfn.XLOOKUP(C36,'Lista de produtos'!E:E,'Lista de produtos'!F:F,,)," ")</f>
        <v>0</v>
      </c>
      <c r="E36" s="5">
        <f>IFERROR(_xlfn.XLOOKUP(C36,'Lista de produtos'!E:E,'Lista de produtos'!G:G,,),0)</f>
        <v>0</v>
      </c>
      <c r="F36" s="10"/>
      <c r="G36" s="6">
        <f>IFERROR(#REF!/D36*F36,0)</f>
        <v>0</v>
      </c>
      <c r="H36" s="18"/>
      <c r="I36" s="67"/>
      <c r="J36" s="51"/>
      <c r="K36" s="51"/>
    </row>
    <row r="37" spans="1:11" ht="15.6" x14ac:dyDescent="0.3">
      <c r="A37" s="66"/>
      <c r="B37" s="48"/>
      <c r="C37" s="8"/>
      <c r="D37" s="4">
        <f>IFERROR(_xlfn.XLOOKUP(C37,'Lista de produtos'!E:E,'Lista de produtos'!F:F,,)," ")</f>
        <v>0</v>
      </c>
      <c r="E37" s="5">
        <f>IFERROR(_xlfn.XLOOKUP(C37,'Lista de produtos'!E:E,'Lista de produtos'!G:G,,),0)</f>
        <v>0</v>
      </c>
      <c r="F37" s="10"/>
      <c r="G37" s="6">
        <f t="shared" ref="G37:G59" si="1">IFERROR(E37/D37*F37,0)</f>
        <v>0</v>
      </c>
      <c r="H37" s="18"/>
      <c r="I37" s="67"/>
      <c r="J37" s="51"/>
      <c r="K37" s="51"/>
    </row>
    <row r="38" spans="1:11" ht="15.6" x14ac:dyDescent="0.3">
      <c r="A38" s="66"/>
      <c r="B38" s="48"/>
      <c r="C38" s="8"/>
      <c r="D38" s="4">
        <f>IFERROR(_xlfn.XLOOKUP(C38,'Lista de produtos'!E:E,'Lista de produtos'!F:F,,)," ")</f>
        <v>0</v>
      </c>
      <c r="E38" s="5">
        <f>IFERROR(_xlfn.XLOOKUP(C38,'Lista de produtos'!E:E,'Lista de produtos'!G:G,,),0)</f>
        <v>0</v>
      </c>
      <c r="F38" s="10"/>
      <c r="G38" s="6">
        <f t="shared" si="1"/>
        <v>0</v>
      </c>
      <c r="H38" s="18"/>
      <c r="I38" s="67"/>
      <c r="J38" s="51"/>
      <c r="K38" s="51"/>
    </row>
    <row r="39" spans="1:11" ht="15.6" x14ac:dyDescent="0.3">
      <c r="A39" s="66"/>
      <c r="B39" s="48"/>
      <c r="C39" s="8"/>
      <c r="D39" s="4">
        <f>IFERROR(_xlfn.XLOOKUP(C39,'Lista de produtos'!E:E,'Lista de produtos'!F:F,,)," ")</f>
        <v>0</v>
      </c>
      <c r="E39" s="5">
        <f>IFERROR(_xlfn.XLOOKUP(C39,'Lista de produtos'!E:E,'Lista de produtos'!G:G,,),0)</f>
        <v>0</v>
      </c>
      <c r="F39" s="10"/>
      <c r="G39" s="6">
        <f t="shared" si="1"/>
        <v>0</v>
      </c>
      <c r="H39" s="18"/>
      <c r="I39" s="67"/>
      <c r="J39" s="51"/>
      <c r="K39" s="51"/>
    </row>
    <row r="40" spans="1:11" ht="15.6" x14ac:dyDescent="0.3">
      <c r="A40" s="66"/>
      <c r="B40" s="48"/>
      <c r="C40" s="8"/>
      <c r="D40" s="4">
        <f>IFERROR(_xlfn.XLOOKUP(C40,'Lista de produtos'!E:E,'Lista de produtos'!F:F,,)," ")</f>
        <v>0</v>
      </c>
      <c r="E40" s="5">
        <f>IFERROR(_xlfn.XLOOKUP(C40,'Lista de produtos'!E:E,'Lista de produtos'!G:G,,),0)</f>
        <v>0</v>
      </c>
      <c r="F40" s="10"/>
      <c r="G40" s="6">
        <f t="shared" si="1"/>
        <v>0</v>
      </c>
      <c r="H40" s="18"/>
      <c r="I40" s="67"/>
      <c r="J40" s="51"/>
      <c r="K40" s="51"/>
    </row>
    <row r="41" spans="1:11" ht="15.6" x14ac:dyDescent="0.3">
      <c r="A41" s="66"/>
      <c r="B41" s="48"/>
      <c r="C41" s="8"/>
      <c r="D41" s="4">
        <f>IFERROR(_xlfn.XLOOKUP(C41,'Lista de produtos'!E:E,'Lista de produtos'!F:F,,)," ")</f>
        <v>0</v>
      </c>
      <c r="E41" s="5">
        <f>IFERROR(_xlfn.XLOOKUP(C41,'Lista de produtos'!E:E,'Lista de produtos'!G:G,,),0)</f>
        <v>0</v>
      </c>
      <c r="F41" s="10"/>
      <c r="G41" s="6">
        <f t="shared" si="1"/>
        <v>0</v>
      </c>
      <c r="H41" s="18"/>
      <c r="I41" s="67"/>
      <c r="J41" s="51"/>
      <c r="K41" s="51"/>
    </row>
    <row r="42" spans="1:11" ht="15.6" x14ac:dyDescent="0.3">
      <c r="A42" s="66"/>
      <c r="B42" s="48"/>
      <c r="C42" s="8"/>
      <c r="D42" s="4">
        <f>IFERROR(_xlfn.XLOOKUP(C42,'Lista de produtos'!E:E,'Lista de produtos'!F:F,,)," ")</f>
        <v>0</v>
      </c>
      <c r="E42" s="5">
        <f>IFERROR(_xlfn.XLOOKUP(C42,'Lista de produtos'!E:E,'Lista de produtos'!G:G,,),0)</f>
        <v>0</v>
      </c>
      <c r="F42" s="10"/>
      <c r="G42" s="6">
        <f t="shared" si="1"/>
        <v>0</v>
      </c>
      <c r="H42" s="18"/>
      <c r="I42" s="67"/>
      <c r="J42" s="51"/>
      <c r="K42" s="51"/>
    </row>
    <row r="43" spans="1:11" ht="15.6" x14ac:dyDescent="0.3">
      <c r="A43" s="66"/>
      <c r="B43" s="48"/>
      <c r="C43" s="8"/>
      <c r="D43" s="4">
        <f>IFERROR(_xlfn.XLOOKUP(C43,'Lista de produtos'!E:E,'Lista de produtos'!F:F,,)," ")</f>
        <v>0</v>
      </c>
      <c r="E43" s="5">
        <f>IFERROR(_xlfn.XLOOKUP(C43,'Lista de produtos'!E:E,'Lista de produtos'!G:G,,),0)</f>
        <v>0</v>
      </c>
      <c r="F43" s="10"/>
      <c r="G43" s="6">
        <f t="shared" si="1"/>
        <v>0</v>
      </c>
      <c r="H43" s="18"/>
      <c r="I43" s="67"/>
      <c r="J43" s="51"/>
      <c r="K43" s="51"/>
    </row>
    <row r="44" spans="1:11" ht="15.6" x14ac:dyDescent="0.3">
      <c r="A44" s="66"/>
      <c r="B44" s="48"/>
      <c r="C44" s="8"/>
      <c r="D44" s="4">
        <f>IFERROR(_xlfn.XLOOKUP(C44,'Lista de produtos'!E:E,'Lista de produtos'!F:F,,)," ")</f>
        <v>0</v>
      </c>
      <c r="E44" s="5">
        <f>IFERROR(_xlfn.XLOOKUP(C44,'Lista de produtos'!E:E,'Lista de produtos'!G:G,,),0)</f>
        <v>0</v>
      </c>
      <c r="F44" s="10"/>
      <c r="G44" s="6">
        <f t="shared" si="1"/>
        <v>0</v>
      </c>
      <c r="H44" s="18"/>
      <c r="I44" s="67"/>
      <c r="J44" s="51"/>
      <c r="K44" s="51"/>
    </row>
    <row r="45" spans="1:11" ht="15.6" x14ac:dyDescent="0.3">
      <c r="A45" s="66"/>
      <c r="B45" s="48"/>
      <c r="C45" s="8"/>
      <c r="D45" s="4">
        <f>IFERROR(_xlfn.XLOOKUP(C45,'Lista de produtos'!E:E,'Lista de produtos'!F:F,,)," ")</f>
        <v>0</v>
      </c>
      <c r="E45" s="5">
        <f>IFERROR(_xlfn.XLOOKUP(C45,'Lista de produtos'!E:E,'Lista de produtos'!G:G,,),0)</f>
        <v>0</v>
      </c>
      <c r="F45" s="10"/>
      <c r="G45" s="6">
        <f t="shared" si="1"/>
        <v>0</v>
      </c>
      <c r="H45" s="18"/>
      <c r="I45" s="67"/>
      <c r="J45" s="51"/>
      <c r="K45" s="51"/>
    </row>
    <row r="46" spans="1:11" ht="15.6" x14ac:dyDescent="0.3">
      <c r="A46" s="66"/>
      <c r="B46" s="48"/>
      <c r="C46" s="8"/>
      <c r="D46" s="4">
        <f>IFERROR(_xlfn.XLOOKUP(C46,'Lista de produtos'!E:E,'Lista de produtos'!F:F,,)," ")</f>
        <v>0</v>
      </c>
      <c r="E46" s="5">
        <f>IFERROR(_xlfn.XLOOKUP(C46,'Lista de produtos'!E:E,'Lista de produtos'!G:G,,),0)</f>
        <v>0</v>
      </c>
      <c r="F46" s="10"/>
      <c r="G46" s="6">
        <f t="shared" si="1"/>
        <v>0</v>
      </c>
      <c r="H46" s="18"/>
      <c r="I46" s="67"/>
      <c r="J46" s="51"/>
      <c r="K46" s="51"/>
    </row>
    <row r="47" spans="1:11" ht="15.6" x14ac:dyDescent="0.3">
      <c r="A47" s="66"/>
      <c r="B47" s="48"/>
      <c r="C47" s="8"/>
      <c r="D47" s="4">
        <f>IFERROR(_xlfn.XLOOKUP(C47,'Lista de produtos'!E:E,'Lista de produtos'!F:F,,)," ")</f>
        <v>0</v>
      </c>
      <c r="E47" s="5">
        <f>IFERROR(_xlfn.XLOOKUP(C47,'Lista de produtos'!E:E,'Lista de produtos'!G:G,,),0)</f>
        <v>0</v>
      </c>
      <c r="F47" s="10"/>
      <c r="G47" s="6">
        <f t="shared" si="1"/>
        <v>0</v>
      </c>
      <c r="H47" s="18"/>
      <c r="I47" s="67"/>
      <c r="J47" s="51"/>
      <c r="K47" s="51"/>
    </row>
    <row r="48" spans="1:11" ht="15.6" x14ac:dyDescent="0.3">
      <c r="A48" s="66"/>
      <c r="B48" s="48"/>
      <c r="C48" s="8"/>
      <c r="D48" s="4">
        <f>IFERROR(_xlfn.XLOOKUP(C48,'Lista de produtos'!E:E,'Lista de produtos'!F:F,,)," ")</f>
        <v>0</v>
      </c>
      <c r="E48" s="5">
        <f>IFERROR(_xlfn.XLOOKUP(C48,'Lista de produtos'!E:E,'Lista de produtos'!G:G,,),0)</f>
        <v>0</v>
      </c>
      <c r="F48" s="10"/>
      <c r="G48" s="6">
        <f t="shared" si="1"/>
        <v>0</v>
      </c>
      <c r="H48" s="18"/>
      <c r="I48" s="67"/>
      <c r="J48" s="51"/>
      <c r="K48" s="51"/>
    </row>
    <row r="49" spans="1:11" ht="15.6" x14ac:dyDescent="0.3">
      <c r="A49" s="66"/>
      <c r="B49" s="48"/>
      <c r="C49" s="8"/>
      <c r="D49" s="4">
        <f>IFERROR(_xlfn.XLOOKUP(C49,'Lista de produtos'!E:E,'Lista de produtos'!F:F,,)," ")</f>
        <v>0</v>
      </c>
      <c r="E49" s="5">
        <f>IFERROR(_xlfn.XLOOKUP(C49,'Lista de produtos'!E:E,'Lista de produtos'!G:G,,),0)</f>
        <v>0</v>
      </c>
      <c r="F49" s="10"/>
      <c r="G49" s="6">
        <f t="shared" si="1"/>
        <v>0</v>
      </c>
      <c r="H49" s="18"/>
      <c r="I49" s="67"/>
      <c r="J49" s="51"/>
      <c r="K49" s="51"/>
    </row>
    <row r="50" spans="1:11" ht="15.6" x14ac:dyDescent="0.3">
      <c r="A50" s="66"/>
      <c r="B50" s="48"/>
      <c r="C50" s="8"/>
      <c r="D50" s="4">
        <f>IFERROR(_xlfn.XLOOKUP(C50,'Lista de produtos'!E:E,'Lista de produtos'!F:F,,)," ")</f>
        <v>0</v>
      </c>
      <c r="E50" s="5">
        <f>IFERROR(_xlfn.XLOOKUP(C50,'Lista de produtos'!E:E,'Lista de produtos'!G:G,,),0)</f>
        <v>0</v>
      </c>
      <c r="F50" s="10"/>
      <c r="G50" s="6">
        <f t="shared" si="1"/>
        <v>0</v>
      </c>
      <c r="H50" s="18"/>
      <c r="I50" s="67"/>
      <c r="J50" s="51"/>
      <c r="K50" s="51"/>
    </row>
    <row r="51" spans="1:11" ht="15.6" x14ac:dyDescent="0.3">
      <c r="A51" s="66"/>
      <c r="B51" s="48"/>
      <c r="C51" s="8"/>
      <c r="D51" s="4">
        <f>IFERROR(_xlfn.XLOOKUP(C51,'Lista de produtos'!E:E,'Lista de produtos'!F:F,,)," ")</f>
        <v>0</v>
      </c>
      <c r="E51" s="5">
        <f>IFERROR(_xlfn.XLOOKUP(C51,'Lista de produtos'!E:E,'Lista de produtos'!G:G,,),0)</f>
        <v>0</v>
      </c>
      <c r="F51" s="10"/>
      <c r="G51" s="6">
        <f t="shared" si="1"/>
        <v>0</v>
      </c>
      <c r="H51" s="18"/>
      <c r="I51" s="67"/>
      <c r="J51" s="51"/>
      <c r="K51" s="51"/>
    </row>
    <row r="52" spans="1:11" ht="15.6" x14ac:dyDescent="0.3">
      <c r="A52" s="66"/>
      <c r="B52" s="48"/>
      <c r="C52" s="8"/>
      <c r="D52" s="4">
        <f>IFERROR(_xlfn.XLOOKUP(C52,'Lista de produtos'!E:E,'Lista de produtos'!F:F,,)," ")</f>
        <v>0</v>
      </c>
      <c r="E52" s="5">
        <f>IFERROR(_xlfn.XLOOKUP(C52,'Lista de produtos'!E:E,'Lista de produtos'!G:G,,),0)</f>
        <v>0</v>
      </c>
      <c r="F52" s="10"/>
      <c r="G52" s="6">
        <f t="shared" si="1"/>
        <v>0</v>
      </c>
      <c r="H52" s="18"/>
      <c r="I52" s="67"/>
      <c r="J52" s="51"/>
      <c r="K52" s="51"/>
    </row>
    <row r="53" spans="1:11" ht="15.6" x14ac:dyDescent="0.3">
      <c r="A53" s="66"/>
      <c r="B53" s="48"/>
      <c r="C53" s="8"/>
      <c r="D53" s="4">
        <f>IFERROR(_xlfn.XLOOKUP(C53,'Lista de produtos'!E:E,'Lista de produtos'!F:F,,)," ")</f>
        <v>0</v>
      </c>
      <c r="E53" s="5">
        <f>IFERROR(_xlfn.XLOOKUP(C53,'Lista de produtos'!E:E,'Lista de produtos'!G:G,,),0)</f>
        <v>0</v>
      </c>
      <c r="F53" s="10"/>
      <c r="G53" s="6">
        <f t="shared" si="1"/>
        <v>0</v>
      </c>
      <c r="H53" s="18"/>
      <c r="I53" s="67"/>
      <c r="J53" s="51"/>
      <c r="K53" s="51"/>
    </row>
    <row r="54" spans="1:11" ht="15.6" x14ac:dyDescent="0.3">
      <c r="A54" s="66"/>
      <c r="B54" s="48"/>
      <c r="C54" s="8"/>
      <c r="D54" s="4">
        <f>IFERROR(_xlfn.XLOOKUP(C54,'Lista de produtos'!E:E,'Lista de produtos'!F:F,,)," ")</f>
        <v>0</v>
      </c>
      <c r="E54" s="5">
        <f>IFERROR(_xlfn.XLOOKUP(C54,'Lista de produtos'!E:E,'Lista de produtos'!G:G,,),0)</f>
        <v>0</v>
      </c>
      <c r="F54" s="10"/>
      <c r="G54" s="6">
        <f t="shared" si="1"/>
        <v>0</v>
      </c>
      <c r="H54" s="18"/>
      <c r="I54" s="67"/>
      <c r="J54" s="51"/>
      <c r="K54" s="51"/>
    </row>
    <row r="55" spans="1:11" ht="15.6" x14ac:dyDescent="0.3">
      <c r="A55" s="66"/>
      <c r="B55" s="48"/>
      <c r="C55" s="8"/>
      <c r="D55" s="4">
        <f>IFERROR(_xlfn.XLOOKUP(C55,'Lista de produtos'!E:E,'Lista de produtos'!F:F,,)," ")</f>
        <v>0</v>
      </c>
      <c r="E55" s="5">
        <f>IFERROR(_xlfn.XLOOKUP(C55,'Lista de produtos'!E:E,'Lista de produtos'!G:G,,),0)</f>
        <v>0</v>
      </c>
      <c r="F55" s="10"/>
      <c r="G55" s="6">
        <f t="shared" si="1"/>
        <v>0</v>
      </c>
      <c r="H55" s="18"/>
      <c r="I55" s="67"/>
      <c r="J55" s="51"/>
      <c r="K55" s="51"/>
    </row>
    <row r="56" spans="1:11" ht="15.6" x14ac:dyDescent="0.3">
      <c r="A56" s="66"/>
      <c r="B56" s="48"/>
      <c r="C56" s="8"/>
      <c r="D56" s="4">
        <f>IFERROR(_xlfn.XLOOKUP(C56,'Lista de produtos'!E:E,'Lista de produtos'!F:F,,)," ")</f>
        <v>0</v>
      </c>
      <c r="E56" s="5">
        <f>IFERROR(_xlfn.XLOOKUP(C56,'Lista de produtos'!E:E,'Lista de produtos'!G:G,,),0)</f>
        <v>0</v>
      </c>
      <c r="F56" s="10"/>
      <c r="G56" s="6">
        <f t="shared" si="1"/>
        <v>0</v>
      </c>
      <c r="H56" s="18"/>
      <c r="I56" s="67"/>
      <c r="J56" s="51"/>
      <c r="K56" s="51"/>
    </row>
    <row r="57" spans="1:11" ht="15.6" x14ac:dyDescent="0.3">
      <c r="A57" s="66"/>
      <c r="B57" s="48"/>
      <c r="C57" s="8"/>
      <c r="D57" s="4">
        <f>IFERROR(_xlfn.XLOOKUP(C57,'Lista de produtos'!E:E,'Lista de produtos'!F:F,,)," ")</f>
        <v>0</v>
      </c>
      <c r="E57" s="5">
        <f>IFERROR(_xlfn.XLOOKUP(C57,'Lista de produtos'!E:E,'Lista de produtos'!G:G,,),0)</f>
        <v>0</v>
      </c>
      <c r="F57" s="10"/>
      <c r="G57" s="6">
        <f t="shared" si="1"/>
        <v>0</v>
      </c>
      <c r="H57" s="18"/>
      <c r="I57" s="67"/>
      <c r="J57" s="51"/>
      <c r="K57" s="51"/>
    </row>
    <row r="58" spans="1:11" ht="15.6" x14ac:dyDescent="0.3">
      <c r="A58" s="66"/>
      <c r="B58" s="48"/>
      <c r="C58" s="9"/>
      <c r="D58" s="4">
        <f>IFERROR(_xlfn.XLOOKUP(C58,'Lista de produtos'!E:E,'Lista de produtos'!F:F,,)," ")</f>
        <v>0</v>
      </c>
      <c r="E58" s="5">
        <f>IFERROR(_xlfn.XLOOKUP(C58,'Lista de produtos'!E:E,'Lista de produtos'!G:G,,),0)</f>
        <v>0</v>
      </c>
      <c r="F58" s="11"/>
      <c r="G58" s="7">
        <f t="shared" si="1"/>
        <v>0</v>
      </c>
      <c r="H58" s="18"/>
      <c r="I58" s="67"/>
      <c r="J58" s="51"/>
      <c r="K58" s="51"/>
    </row>
    <row r="59" spans="1:11" ht="15.6" x14ac:dyDescent="0.3">
      <c r="A59" s="66"/>
      <c r="B59" s="48"/>
      <c r="C59" s="8"/>
      <c r="D59" s="4">
        <f>IFERROR(_xlfn.XLOOKUP(C59,'Lista de produtos'!E:E,'Lista de produtos'!F:F,,)," ")</f>
        <v>0</v>
      </c>
      <c r="E59" s="5">
        <f>IFERROR(_xlfn.XLOOKUP(C59,'Lista de produtos'!E:E,'Lista de produtos'!G:G,,),0)</f>
        <v>0</v>
      </c>
      <c r="F59" s="10"/>
      <c r="G59" s="6">
        <f t="shared" si="1"/>
        <v>0</v>
      </c>
      <c r="H59" s="18"/>
      <c r="I59" s="67"/>
      <c r="J59" s="51"/>
      <c r="K59" s="51"/>
    </row>
    <row r="60" spans="1:11" ht="15.6" x14ac:dyDescent="0.3">
      <c r="A60" s="66"/>
      <c r="B60" s="48"/>
      <c r="C60" s="15"/>
      <c r="D60" s="15"/>
      <c r="E60" s="15"/>
      <c r="F60" s="15"/>
      <c r="G60" s="15"/>
      <c r="H60" s="15"/>
      <c r="I60" s="65"/>
      <c r="K60" s="51"/>
    </row>
    <row r="61" spans="1:11" ht="15.6" x14ac:dyDescent="0.3">
      <c r="A61" s="66"/>
      <c r="B61" s="48"/>
      <c r="C61" s="15"/>
      <c r="D61" s="21"/>
      <c r="E61" s="44"/>
      <c r="F61" s="45"/>
      <c r="G61" s="22"/>
      <c r="H61" s="22"/>
      <c r="I61" s="68"/>
      <c r="J61" s="52"/>
      <c r="K61" s="51"/>
    </row>
    <row r="62" spans="1:11" ht="15.6" x14ac:dyDescent="0.3">
      <c r="A62" s="66"/>
      <c r="B62" s="66"/>
      <c r="C62" s="65"/>
      <c r="D62" s="65"/>
      <c r="E62" s="65"/>
      <c r="F62" s="65"/>
      <c r="G62" s="65"/>
      <c r="H62" s="65"/>
      <c r="I62" s="65"/>
      <c r="K62" s="51"/>
    </row>
    <row r="64" spans="1:11" x14ac:dyDescent="0.3">
      <c r="K64" s="52"/>
    </row>
  </sheetData>
  <autoFilter ref="C9:G9" xr:uid="{6C669FB6-F7B7-44FA-8CDB-DC5661242CF3}">
    <sortState xmlns:xlrd2="http://schemas.microsoft.com/office/spreadsheetml/2017/richdata2" ref="C10:G59">
      <sortCondition ref="C9"/>
    </sortState>
  </autoFilter>
  <mergeCells count="1">
    <mergeCell ref="C8:G8"/>
  </mergeCells>
  <dataValidations count="3">
    <dataValidation type="list" allowBlank="1" showInputMessage="1" showErrorMessage="1" sqref="D5" xr:uid="{D0E8CC67-D01B-4E22-AFD9-4C2FE1A53616}">
      <mc:AlternateContent xmlns:x12ac="http://schemas.microsoft.com/office/spreadsheetml/2011/1/ac" xmlns:mc="http://schemas.openxmlformats.org/markup-compatibility/2006">
        <mc:Choice Requires="x12ac">
          <x12ac:list>"0,1","0,2","0,3","0,4","0,5","0,6","0,7","0,8","0,9","0,10"</x12ac:list>
        </mc:Choice>
        <mc:Fallback>
          <formula1>"0,1,0,2,0,3,0,4,0,5,0,6,0,7,0,8,0,9,0,10"</formula1>
        </mc:Fallback>
      </mc:AlternateContent>
    </dataValidation>
    <dataValidation type="list" allowBlank="1" showInputMessage="1" showErrorMessage="1" sqref="M13:M14" xr:uid="{DCF880F9-849B-4A29-B69A-1FA38B27393C}">
      <mc:AlternateContent xmlns:x12ac="http://schemas.microsoft.com/office/spreadsheetml/2011/1/ac" xmlns:mc="http://schemas.openxmlformats.org/markup-compatibility/2006">
        <mc:Choice Requires="x12ac">
          <x12ac:list>"0,0","0,01","0,02","0,03","0,04","0,05","0,06","0,07","0,08","0,09"</x12ac:list>
        </mc:Choice>
        <mc:Fallback>
          <formula1>"0,0,0,01,0,02,0,03,0,04,0,05,0,06,0,07,0,08,0,09"</formula1>
        </mc:Fallback>
      </mc:AlternateContent>
    </dataValidation>
    <dataValidation type="list" allowBlank="1" showInputMessage="1" showErrorMessage="1" sqref="E5" xr:uid="{CC3DCE8F-CC8A-4EA4-BF53-F33E5F1AD54D}">
      <mc:AlternateContent xmlns:x12ac="http://schemas.microsoft.com/office/spreadsheetml/2011/1/ac" xmlns:mc="http://schemas.openxmlformats.org/markup-compatibility/2006">
        <mc:Choice Requires="x12ac">
          <x12ac:list>"0,1","0,2","0,3","0,4","0,5","0,6","0,7","0,8","0,9","1,0"</x12ac:list>
        </mc:Choice>
        <mc:Fallback>
          <formula1>"0,1,0,2,0,3,0,4,0,5,0,6,0,7,0,8,0,9,1,0"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Lista de produtos</vt:lpstr>
      <vt:lpstr>Registro de precificação aro10</vt:lpstr>
      <vt:lpstr>Registro de precificação aro15</vt:lpstr>
      <vt:lpstr>Registro de precificação aro20</vt:lpstr>
      <vt:lpstr>Registro de precificação aro25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Raynan-user</dc:creator>
  <cp:lastModifiedBy>Raynan-user</cp:lastModifiedBy>
  <dcterms:created xsi:type="dcterms:W3CDTF">2026-01-06T22:04:09Z</dcterms:created>
  <dcterms:modified xsi:type="dcterms:W3CDTF">2026-02-05T16:24:07Z</dcterms:modified>
</cp:coreProperties>
</file>